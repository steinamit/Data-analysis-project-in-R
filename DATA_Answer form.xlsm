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/>
  <workbookPr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ariel university\year b\production management 1\R task\final for github\"/>
    </mc:Choice>
  </mc:AlternateContent>
  <xr:revisionPtr revIDLastSave="0" documentId="13_ncr:1_{D43B714C-DDDE-40EE-9257-AD3E33BAEC14}" xr6:coauthVersionLast="47" xr6:coauthVersionMax="47" xr10:uidLastSave="{00000000-0000-0000-0000-000000000000}"/>
  <bookViews>
    <workbookView xWindow="-120" yWindow="-120" windowWidth="20730" windowHeight="11160" firstSheet="2" activeTab="4" xr2:uid="{738FD6AD-7FE2-46D9-A0B9-F367889BEF9B}"/>
  </bookViews>
  <sheets>
    <sheet name="ID" sheetId="3" r:id="rId1"/>
    <sheet name="תרשים1" sheetId="4" state="hidden" r:id="rId2"/>
    <sheet name="DATA" sheetId="1" r:id="rId3"/>
    <sheet name="Admin" sheetId="2" state="hidden" r:id="rId4"/>
    <sheet name="תשובות" sheetId="11" r:id="rId5"/>
    <sheet name="גרפים" sheetId="12" r:id="rId6"/>
    <sheet name="Data (2)" sheetId="5" state="hidden" r:id="rId7"/>
  </sheets>
  <definedNames>
    <definedName name="A0">Admin!$B$3</definedName>
    <definedName name="avg">Admin!$B$8</definedName>
    <definedName name="ID">ID!$B$2</definedName>
    <definedName name="Months">Admin!$P$2:$AA$2</definedName>
    <definedName name="RefNum">Admin!$B$1</definedName>
    <definedName name="Seasonality">Admin!$B$5</definedName>
    <definedName name="SeasonalityTable">Admin!$P$3:$AA$13</definedName>
    <definedName name="Std">Admin!$B$6</definedName>
    <definedName name="Trend">Admin!$B$4</definedName>
  </definedNames>
  <calcPr calcId="191029"/>
  <pivotCaches>
    <pivotCache cacheId="0" r:id="rId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2" l="1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B14" i="2" l="1"/>
  <c r="C2" i="5" l="1"/>
  <c r="B2" i="5" s="1"/>
  <c r="C3" i="5"/>
  <c r="B3" i="5" s="1"/>
  <c r="C4" i="5"/>
  <c r="B4" i="5" s="1"/>
  <c r="C5" i="5"/>
  <c r="B5" i="5" s="1"/>
  <c r="C6" i="5"/>
  <c r="B6" i="5" s="1"/>
  <c r="C7" i="5"/>
  <c r="B7" i="5" s="1"/>
  <c r="C8" i="5"/>
  <c r="B8" i="5" s="1"/>
  <c r="C9" i="5"/>
  <c r="B9" i="5" s="1"/>
  <c r="C10" i="5"/>
  <c r="B10" i="5" s="1"/>
  <c r="C11" i="5"/>
  <c r="B11" i="5" s="1"/>
  <c r="C12" i="5"/>
  <c r="B12" i="5" s="1"/>
  <c r="C13" i="5"/>
  <c r="B13" i="5" s="1"/>
  <c r="C14" i="5"/>
  <c r="B14" i="5" s="1"/>
  <c r="C15" i="5"/>
  <c r="B15" i="5" s="1"/>
  <c r="C16" i="5"/>
  <c r="B16" i="5" s="1"/>
  <c r="C17" i="5"/>
  <c r="B17" i="5" s="1"/>
  <c r="C18" i="5"/>
  <c r="B18" i="5" s="1"/>
  <c r="C19" i="5"/>
  <c r="B19" i="5" s="1"/>
  <c r="C20" i="5"/>
  <c r="B20" i="5" s="1"/>
  <c r="C21" i="5"/>
  <c r="B21" i="5" s="1"/>
  <c r="C22" i="5"/>
  <c r="B22" i="5" s="1"/>
  <c r="C23" i="5"/>
  <c r="B23" i="5" s="1"/>
  <c r="C24" i="5"/>
  <c r="B24" i="5" s="1"/>
  <c r="C121" i="5"/>
  <c r="B121" i="5" s="1"/>
  <c r="C120" i="5"/>
  <c r="B120" i="5" s="1"/>
  <c r="C119" i="5"/>
  <c r="B119" i="5" s="1"/>
  <c r="C118" i="5"/>
  <c r="B118" i="5" s="1"/>
  <c r="C117" i="5"/>
  <c r="B117" i="5" s="1"/>
  <c r="C116" i="5"/>
  <c r="B116" i="5" s="1"/>
  <c r="C115" i="5"/>
  <c r="B115" i="5" s="1"/>
  <c r="C114" i="5"/>
  <c r="B114" i="5" s="1"/>
  <c r="C113" i="5"/>
  <c r="B113" i="5" s="1"/>
  <c r="C112" i="5"/>
  <c r="B112" i="5" s="1"/>
  <c r="C111" i="5"/>
  <c r="B111" i="5" s="1"/>
  <c r="C110" i="5"/>
  <c r="B110" i="5" s="1"/>
  <c r="C109" i="5"/>
  <c r="B109" i="5" s="1"/>
  <c r="C108" i="5"/>
  <c r="B108" i="5" s="1"/>
  <c r="C107" i="5"/>
  <c r="B107" i="5" s="1"/>
  <c r="C106" i="5"/>
  <c r="B106" i="5" s="1"/>
  <c r="C105" i="5"/>
  <c r="B105" i="5" s="1"/>
  <c r="C104" i="5"/>
  <c r="B104" i="5" s="1"/>
  <c r="C103" i="5"/>
  <c r="B103" i="5" s="1"/>
  <c r="C102" i="5"/>
  <c r="B102" i="5" s="1"/>
  <c r="C101" i="5"/>
  <c r="B101" i="5" s="1"/>
  <c r="C100" i="5"/>
  <c r="B100" i="5" s="1"/>
  <c r="C99" i="5"/>
  <c r="B99" i="5" s="1"/>
  <c r="C98" i="5"/>
  <c r="B98" i="5" s="1"/>
  <c r="C97" i="5"/>
  <c r="B97" i="5" s="1"/>
  <c r="C96" i="5"/>
  <c r="B96" i="5" s="1"/>
  <c r="C95" i="5"/>
  <c r="B95" i="5" s="1"/>
  <c r="C94" i="5"/>
  <c r="B94" i="5" s="1"/>
  <c r="C93" i="5"/>
  <c r="B93" i="5" s="1"/>
  <c r="C92" i="5"/>
  <c r="B92" i="5" s="1"/>
  <c r="C91" i="5"/>
  <c r="B91" i="5" s="1"/>
  <c r="C90" i="5"/>
  <c r="B90" i="5" s="1"/>
  <c r="C89" i="5"/>
  <c r="B89" i="5" s="1"/>
  <c r="C88" i="5"/>
  <c r="B88" i="5" s="1"/>
  <c r="C87" i="5"/>
  <c r="B87" i="5" s="1"/>
  <c r="C86" i="5"/>
  <c r="B86" i="5" s="1"/>
  <c r="C85" i="5"/>
  <c r="B85" i="5" s="1"/>
  <c r="C84" i="5"/>
  <c r="B84" i="5" s="1"/>
  <c r="C83" i="5"/>
  <c r="B83" i="5" s="1"/>
  <c r="C82" i="5"/>
  <c r="B82" i="5" s="1"/>
  <c r="C81" i="5"/>
  <c r="B81" i="5" s="1"/>
  <c r="C80" i="5"/>
  <c r="B80" i="5" s="1"/>
  <c r="C79" i="5"/>
  <c r="B79" i="5" s="1"/>
  <c r="C78" i="5"/>
  <c r="B78" i="5" s="1"/>
  <c r="C77" i="5"/>
  <c r="B77" i="5" s="1"/>
  <c r="C76" i="5"/>
  <c r="B76" i="5" s="1"/>
  <c r="C75" i="5"/>
  <c r="B75" i="5" s="1"/>
  <c r="C74" i="5"/>
  <c r="B74" i="5" s="1"/>
  <c r="C73" i="5"/>
  <c r="B73" i="5" s="1"/>
  <c r="C72" i="5"/>
  <c r="B72" i="5" s="1"/>
  <c r="C71" i="5"/>
  <c r="B71" i="5" s="1"/>
  <c r="C70" i="5"/>
  <c r="B70" i="5" s="1"/>
  <c r="C69" i="5"/>
  <c r="B69" i="5" s="1"/>
  <c r="C68" i="5"/>
  <c r="B68" i="5" s="1"/>
  <c r="C67" i="5"/>
  <c r="B67" i="5" s="1"/>
  <c r="C66" i="5"/>
  <c r="B66" i="5" s="1"/>
  <c r="C65" i="5"/>
  <c r="B65" i="5" s="1"/>
  <c r="C64" i="5"/>
  <c r="B64" i="5" s="1"/>
  <c r="C63" i="5"/>
  <c r="B63" i="5" s="1"/>
  <c r="C62" i="5"/>
  <c r="B62" i="5" s="1"/>
  <c r="C61" i="5"/>
  <c r="B61" i="5" s="1"/>
  <c r="C60" i="5"/>
  <c r="B60" i="5" s="1"/>
  <c r="C59" i="5"/>
  <c r="B59" i="5" s="1"/>
  <c r="C58" i="5"/>
  <c r="B58" i="5" s="1"/>
  <c r="C57" i="5"/>
  <c r="B57" i="5" s="1"/>
  <c r="C56" i="5"/>
  <c r="B56" i="5" s="1"/>
  <c r="C55" i="5"/>
  <c r="B55" i="5" s="1"/>
  <c r="C54" i="5"/>
  <c r="B54" i="5" s="1"/>
  <c r="C53" i="5"/>
  <c r="B53" i="5" s="1"/>
  <c r="C52" i="5"/>
  <c r="B52" i="5" s="1"/>
  <c r="C51" i="5"/>
  <c r="B51" i="5" s="1"/>
  <c r="C50" i="5"/>
  <c r="B50" i="5" s="1"/>
  <c r="C49" i="5"/>
  <c r="B49" i="5" s="1"/>
  <c r="C48" i="5"/>
  <c r="B48" i="5" s="1"/>
  <c r="C47" i="5"/>
  <c r="B47" i="5" s="1"/>
  <c r="C46" i="5"/>
  <c r="B46" i="5" s="1"/>
  <c r="C45" i="5"/>
  <c r="B45" i="5" s="1"/>
  <c r="C44" i="5"/>
  <c r="B44" i="5" s="1"/>
  <c r="C43" i="5"/>
  <c r="B43" i="5" s="1"/>
  <c r="C42" i="5"/>
  <c r="B42" i="5" s="1"/>
  <c r="C41" i="5"/>
  <c r="B41" i="5" s="1"/>
  <c r="C40" i="5"/>
  <c r="B40" i="5" s="1"/>
  <c r="C39" i="5"/>
  <c r="B39" i="5" s="1"/>
  <c r="C38" i="5"/>
  <c r="B38" i="5" s="1"/>
  <c r="C37" i="5"/>
  <c r="B37" i="5" s="1"/>
  <c r="C36" i="5"/>
  <c r="B36" i="5" s="1"/>
  <c r="C35" i="5"/>
  <c r="B35" i="5" s="1"/>
  <c r="C34" i="5"/>
  <c r="B34" i="5" s="1"/>
  <c r="C33" i="5"/>
  <c r="B33" i="5" s="1"/>
  <c r="C32" i="5"/>
  <c r="B32" i="5" s="1"/>
  <c r="C31" i="5"/>
  <c r="B31" i="5" s="1"/>
  <c r="C30" i="5"/>
  <c r="B30" i="5" s="1"/>
  <c r="C29" i="5"/>
  <c r="B29" i="5" s="1"/>
  <c r="C28" i="5"/>
  <c r="B28" i="5" s="1"/>
  <c r="C27" i="5"/>
  <c r="B27" i="5" s="1"/>
  <c r="C26" i="5"/>
  <c r="B26" i="5" s="1"/>
  <c r="C25" i="5"/>
  <c r="B25" i="5" s="1"/>
  <c r="AC4" i="2"/>
  <c r="AC5" i="2"/>
  <c r="AC6" i="2"/>
  <c r="AC7" i="2"/>
  <c r="AC8" i="2"/>
  <c r="AC9" i="2"/>
  <c r="AC10" i="2"/>
  <c r="AC11" i="2"/>
  <c r="AC12" i="2"/>
  <c r="AC13" i="2"/>
  <c r="AC3" i="2"/>
  <c r="B1" i="2" l="1"/>
  <c r="S18" i="2"/>
  <c r="P18" i="2"/>
  <c r="Q18" i="2"/>
  <c r="R18" i="2"/>
  <c r="A3" i="1" l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2" i="1"/>
  <c r="Z21" i="2"/>
  <c r="S25" i="2"/>
  <c r="AA22" i="2"/>
  <c r="T19" i="2"/>
  <c r="P21" i="2"/>
  <c r="R26" i="2"/>
  <c r="V18" i="2"/>
  <c r="Q24" i="2"/>
  <c r="AA20" i="2"/>
  <c r="Q27" i="2"/>
  <c r="R27" i="2"/>
  <c r="T24" i="2"/>
  <c r="V22" i="2"/>
  <c r="X27" i="2"/>
  <c r="U22" i="2"/>
  <c r="U26" i="2"/>
  <c r="W27" i="2"/>
  <c r="R22" i="2"/>
  <c r="Z18" i="2"/>
  <c r="W22" i="2"/>
  <c r="Y25" i="2"/>
  <c r="W24" i="2"/>
  <c r="V25" i="2"/>
  <c r="Q22" i="2"/>
  <c r="S27" i="2"/>
  <c r="Y23" i="2"/>
  <c r="X20" i="2"/>
  <c r="W20" i="2"/>
  <c r="AA25" i="2"/>
  <c r="T23" i="2"/>
  <c r="Y19" i="2"/>
  <c r="U18" i="2"/>
  <c r="W26" i="2"/>
  <c r="AA19" i="2"/>
  <c r="T27" i="2"/>
  <c r="V26" i="2"/>
  <c r="AA26" i="2"/>
  <c r="AA21" i="2"/>
  <c r="U25" i="2"/>
  <c r="S21" i="2"/>
  <c r="T22" i="2"/>
  <c r="X23" i="2"/>
  <c r="P24" i="2"/>
  <c r="U20" i="2"/>
  <c r="Q19" i="2"/>
  <c r="Y27" i="2"/>
  <c r="T26" i="2"/>
  <c r="Q23" i="2"/>
  <c r="R25" i="2"/>
  <c r="X19" i="2"/>
  <c r="U24" i="2"/>
  <c r="R20" i="2"/>
  <c r="V21" i="2"/>
  <c r="W23" i="2"/>
  <c r="W25" i="2"/>
  <c r="V27" i="2"/>
  <c r="V24" i="2"/>
  <c r="S24" i="2"/>
  <c r="R24" i="2"/>
  <c r="Y18" i="2"/>
  <c r="Y26" i="2"/>
  <c r="Z25" i="2"/>
  <c r="X21" i="2"/>
  <c r="AA18" i="2"/>
  <c r="W18" i="2"/>
  <c r="X24" i="2"/>
  <c r="Y20" i="2"/>
  <c r="T20" i="2"/>
  <c r="Y24" i="2"/>
  <c r="T18" i="2"/>
  <c r="R19" i="2"/>
  <c r="Z24" i="2"/>
  <c r="Y21" i="2"/>
  <c r="V23" i="2"/>
  <c r="T21" i="2"/>
  <c r="X26" i="2"/>
  <c r="Z26" i="2"/>
  <c r="V20" i="2"/>
  <c r="Z20" i="2"/>
  <c r="Q20" i="2"/>
  <c r="Z23" i="2"/>
  <c r="S20" i="2"/>
  <c r="P19" i="2"/>
  <c r="Z27" i="2"/>
  <c r="AA24" i="2"/>
  <c r="W21" i="2"/>
  <c r="P22" i="2"/>
  <c r="U21" i="2"/>
  <c r="V19" i="2"/>
  <c r="P26" i="2"/>
  <c r="X25" i="2"/>
  <c r="Q21" i="2"/>
  <c r="T25" i="2"/>
  <c r="S19" i="2"/>
  <c r="R21" i="2"/>
  <c r="AA23" i="2"/>
  <c r="R23" i="2"/>
  <c r="Y22" i="2"/>
  <c r="X22" i="2"/>
  <c r="P23" i="2"/>
  <c r="Z19" i="2"/>
  <c r="S23" i="2"/>
  <c r="S26" i="2"/>
  <c r="P25" i="2"/>
  <c r="AA27" i="2"/>
  <c r="P20" i="2"/>
  <c r="S22" i="2"/>
  <c r="U19" i="2"/>
  <c r="W19" i="2"/>
  <c r="X18" i="2"/>
  <c r="P27" i="2"/>
  <c r="Q25" i="2"/>
  <c r="U27" i="2"/>
  <c r="U23" i="2"/>
  <c r="Q26" i="2"/>
  <c r="Z22" i="2"/>
  <c r="T30" i="2" l="1"/>
  <c r="X30" i="2"/>
  <c r="Z30" i="2"/>
  <c r="S30" i="2"/>
  <c r="AA30" i="2"/>
  <c r="W30" i="2"/>
  <c r="U30" i="2"/>
  <c r="Y30" i="2"/>
  <c r="Q30" i="2"/>
  <c r="V30" i="2"/>
  <c r="R30" i="2"/>
  <c r="P30" i="2"/>
  <c r="AB6" i="2"/>
  <c r="AB10" i="2"/>
  <c r="A1" i="2"/>
  <c r="F2" i="2"/>
  <c r="D15" i="2"/>
  <c r="D27" i="2" s="1"/>
  <c r="D39" i="2" s="1"/>
  <c r="D51" i="2" s="1"/>
  <c r="D63" i="2" s="1"/>
  <c r="D75" i="2" s="1"/>
  <c r="D87" i="2" s="1"/>
  <c r="D99" i="2" s="1"/>
  <c r="D111" i="2" s="1"/>
  <c r="D16" i="2"/>
  <c r="D28" i="2" s="1"/>
  <c r="D40" i="2" s="1"/>
  <c r="D52" i="2" s="1"/>
  <c r="D64" i="2" s="1"/>
  <c r="D76" i="2" s="1"/>
  <c r="D88" i="2" s="1"/>
  <c r="D100" i="2" s="1"/>
  <c r="D112" i="2" s="1"/>
  <c r="D17" i="2"/>
  <c r="D29" i="2" s="1"/>
  <c r="D41" i="2" s="1"/>
  <c r="D53" i="2" s="1"/>
  <c r="D65" i="2" s="1"/>
  <c r="D77" i="2" s="1"/>
  <c r="D89" i="2" s="1"/>
  <c r="D101" i="2" s="1"/>
  <c r="D113" i="2" s="1"/>
  <c r="D18" i="2"/>
  <c r="D30" i="2" s="1"/>
  <c r="D42" i="2" s="1"/>
  <c r="D54" i="2" s="1"/>
  <c r="D66" i="2" s="1"/>
  <c r="D78" i="2" s="1"/>
  <c r="D90" i="2" s="1"/>
  <c r="D102" i="2" s="1"/>
  <c r="D114" i="2" s="1"/>
  <c r="D19" i="2"/>
  <c r="D31" i="2" s="1"/>
  <c r="D43" i="2" s="1"/>
  <c r="D55" i="2" s="1"/>
  <c r="D67" i="2" s="1"/>
  <c r="D79" i="2" s="1"/>
  <c r="D91" i="2" s="1"/>
  <c r="D103" i="2" s="1"/>
  <c r="D115" i="2" s="1"/>
  <c r="D20" i="2"/>
  <c r="D32" i="2" s="1"/>
  <c r="D44" i="2" s="1"/>
  <c r="D56" i="2" s="1"/>
  <c r="D68" i="2" s="1"/>
  <c r="D80" i="2" s="1"/>
  <c r="D92" i="2" s="1"/>
  <c r="D104" i="2" s="1"/>
  <c r="D116" i="2" s="1"/>
  <c r="D21" i="2"/>
  <c r="D33" i="2" s="1"/>
  <c r="D45" i="2" s="1"/>
  <c r="D57" i="2" s="1"/>
  <c r="D69" i="2" s="1"/>
  <c r="D81" i="2" s="1"/>
  <c r="D93" i="2" s="1"/>
  <c r="D105" i="2" s="1"/>
  <c r="D117" i="2" s="1"/>
  <c r="D22" i="2"/>
  <c r="D34" i="2" s="1"/>
  <c r="D46" i="2" s="1"/>
  <c r="D58" i="2" s="1"/>
  <c r="D70" i="2" s="1"/>
  <c r="D82" i="2" s="1"/>
  <c r="D94" i="2" s="1"/>
  <c r="D106" i="2" s="1"/>
  <c r="D118" i="2" s="1"/>
  <c r="D23" i="2"/>
  <c r="D35" i="2" s="1"/>
  <c r="D47" i="2" s="1"/>
  <c r="D59" i="2" s="1"/>
  <c r="D71" i="2" s="1"/>
  <c r="D83" i="2" s="1"/>
  <c r="D95" i="2" s="1"/>
  <c r="D107" i="2" s="1"/>
  <c r="D119" i="2" s="1"/>
  <c r="D24" i="2"/>
  <c r="D36" i="2" s="1"/>
  <c r="D48" i="2" s="1"/>
  <c r="D60" i="2" s="1"/>
  <c r="D72" i="2" s="1"/>
  <c r="D84" i="2" s="1"/>
  <c r="D96" i="2" s="1"/>
  <c r="D108" i="2" s="1"/>
  <c r="D120" i="2" s="1"/>
  <c r="D25" i="2"/>
  <c r="D37" i="2" s="1"/>
  <c r="D14" i="2"/>
  <c r="D26" i="2" s="1"/>
  <c r="D38" i="2" s="1"/>
  <c r="D50" i="2" s="1"/>
  <c r="D62" i="2" s="1"/>
  <c r="D74" i="2" s="1"/>
  <c r="D86" i="2" s="1"/>
  <c r="D98" i="2" s="1"/>
  <c r="D110" i="2" s="1"/>
  <c r="AB30" i="2" l="1"/>
  <c r="P32" i="2" s="1"/>
  <c r="AB9" i="2"/>
  <c r="AB12" i="2"/>
  <c r="AB11" i="2"/>
  <c r="AB8" i="2"/>
  <c r="AB4" i="2"/>
  <c r="AB13" i="2"/>
  <c r="AB5" i="2"/>
  <c r="AB7" i="2"/>
  <c r="AB3" i="2"/>
  <c r="D49" i="2"/>
  <c r="B5" i="2"/>
  <c r="U32" i="2" l="1"/>
  <c r="Y32" i="2"/>
  <c r="Y34" i="2" s="1"/>
  <c r="Q32" i="2"/>
  <c r="Q34" i="2" s="1"/>
  <c r="R32" i="2"/>
  <c r="R34" i="2" s="1"/>
  <c r="S32" i="2"/>
  <c r="S34" i="2" s="1"/>
  <c r="V32" i="2"/>
  <c r="V34" i="2" s="1"/>
  <c r="W32" i="2"/>
  <c r="W34" i="2" s="1"/>
  <c r="Z32" i="2"/>
  <c r="Z34" i="2" s="1"/>
  <c r="T32" i="2"/>
  <c r="T34" i="2" s="1"/>
  <c r="X32" i="2"/>
  <c r="X34" i="2" s="1"/>
  <c r="AA32" i="2"/>
  <c r="AA34" i="2" s="1"/>
  <c r="P34" i="2"/>
  <c r="U34" i="2"/>
  <c r="B3" i="2"/>
  <c r="D61" i="2"/>
  <c r="B4" i="2" l="1"/>
  <c r="AB34" i="2"/>
  <c r="D73" i="2"/>
  <c r="B6" i="2" l="1"/>
  <c r="B10" i="2" s="1"/>
  <c r="B21" i="2"/>
  <c r="H16" i="2"/>
  <c r="H11" i="2"/>
  <c r="H65" i="2"/>
  <c r="H120" i="2"/>
  <c r="H67" i="2"/>
  <c r="H100" i="2"/>
  <c r="H95" i="2"/>
  <c r="H109" i="2"/>
  <c r="H45" i="2"/>
  <c r="H80" i="2"/>
  <c r="H118" i="2"/>
  <c r="H76" i="2"/>
  <c r="H71" i="2"/>
  <c r="H97" i="2"/>
  <c r="H33" i="2"/>
  <c r="H56" i="2"/>
  <c r="H58" i="2"/>
  <c r="H36" i="2"/>
  <c r="H35" i="2"/>
  <c r="H77" i="2"/>
  <c r="H13" i="2"/>
  <c r="H12" i="2"/>
  <c r="B20" i="2"/>
  <c r="H68" i="2"/>
  <c r="H8" i="2"/>
  <c r="H63" i="2"/>
  <c r="H7" i="2"/>
  <c r="H93" i="2"/>
  <c r="H61" i="2"/>
  <c r="H29" i="2"/>
  <c r="H112" i="2"/>
  <c r="H48" i="2"/>
  <c r="H99" i="2"/>
  <c r="H31" i="2"/>
  <c r="H90" i="2"/>
  <c r="H26" i="2"/>
  <c r="H107" i="2"/>
  <c r="H43" i="2"/>
  <c r="H106" i="2"/>
  <c r="H42" i="2"/>
  <c r="H108" i="2"/>
  <c r="H44" i="2"/>
  <c r="H103" i="2"/>
  <c r="H39" i="2"/>
  <c r="H113" i="2"/>
  <c r="H81" i="2"/>
  <c r="H49" i="2"/>
  <c r="H17" i="2"/>
  <c r="H88" i="2"/>
  <c r="H20" i="2"/>
  <c r="H75" i="2"/>
  <c r="H3" i="2"/>
  <c r="H74" i="2"/>
  <c r="H10" i="2"/>
  <c r="H102" i="2"/>
  <c r="H86" i="2"/>
  <c r="H70" i="2"/>
  <c r="H54" i="2"/>
  <c r="H38" i="2"/>
  <c r="H22" i="2"/>
  <c r="H6" i="2"/>
  <c r="H116" i="2"/>
  <c r="H84" i="2"/>
  <c r="H52" i="2"/>
  <c r="H24" i="2"/>
  <c r="H111" i="2"/>
  <c r="H79" i="2"/>
  <c r="H47" i="2"/>
  <c r="H23" i="2"/>
  <c r="H117" i="2"/>
  <c r="H101" i="2"/>
  <c r="H85" i="2"/>
  <c r="H69" i="2"/>
  <c r="H53" i="2"/>
  <c r="H37" i="2"/>
  <c r="H21" i="2"/>
  <c r="H5" i="2"/>
  <c r="H96" i="2"/>
  <c r="H64" i="2"/>
  <c r="H32" i="2"/>
  <c r="H115" i="2"/>
  <c r="H83" i="2"/>
  <c r="H51" i="2"/>
  <c r="H15" i="2"/>
  <c r="H110" i="2"/>
  <c r="H94" i="2"/>
  <c r="H78" i="2"/>
  <c r="H62" i="2"/>
  <c r="H46" i="2"/>
  <c r="H30" i="2"/>
  <c r="H14" i="2"/>
  <c r="H92" i="2"/>
  <c r="H60" i="2"/>
  <c r="H28" i="2"/>
  <c r="H119" i="2"/>
  <c r="H87" i="2"/>
  <c r="H55" i="2"/>
  <c r="H27" i="2"/>
  <c r="H121" i="2"/>
  <c r="H105" i="2"/>
  <c r="H89" i="2"/>
  <c r="H73" i="2"/>
  <c r="H57" i="2"/>
  <c r="H41" i="2"/>
  <c r="H25" i="2"/>
  <c r="H9" i="2"/>
  <c r="H104" i="2"/>
  <c r="H72" i="2"/>
  <c r="H40" i="2"/>
  <c r="H4" i="2"/>
  <c r="H91" i="2"/>
  <c r="H59" i="2"/>
  <c r="H19" i="2"/>
  <c r="H114" i="2"/>
  <c r="H98" i="2"/>
  <c r="H82" i="2"/>
  <c r="H66" i="2"/>
  <c r="H50" i="2"/>
  <c r="H34" i="2"/>
  <c r="H18" i="2"/>
  <c r="H2" i="2"/>
  <c r="B8" i="2"/>
  <c r="B15" i="2" s="1"/>
  <c r="B16" i="2" s="1"/>
  <c r="B17" i="2" s="1"/>
  <c r="D85" i="2"/>
  <c r="G38" i="2" l="1"/>
  <c r="I38" i="2" s="1"/>
  <c r="G85" i="2"/>
  <c r="I85" i="2" s="1"/>
  <c r="G82" i="2"/>
  <c r="I82" i="2" s="1"/>
  <c r="G30" i="2"/>
  <c r="I30" i="2" s="1"/>
  <c r="G80" i="2"/>
  <c r="I80" i="2" s="1"/>
  <c r="G111" i="2"/>
  <c r="I111" i="2" s="1"/>
  <c r="G105" i="2"/>
  <c r="I105" i="2" s="1"/>
  <c r="G79" i="2"/>
  <c r="I79" i="2" s="1"/>
  <c r="G74" i="2"/>
  <c r="G76" i="2"/>
  <c r="I76" i="2" s="1"/>
  <c r="G107" i="2"/>
  <c r="I107" i="2" s="1"/>
  <c r="G83" i="2"/>
  <c r="I83" i="2" s="1"/>
  <c r="G14" i="2"/>
  <c r="I14" i="2" s="1"/>
  <c r="G7" i="2"/>
  <c r="I7" i="2" s="1"/>
  <c r="G57" i="2"/>
  <c r="I57" i="2" s="1"/>
  <c r="G91" i="2"/>
  <c r="I91" i="2" s="1"/>
  <c r="G104" i="2"/>
  <c r="I104" i="2" s="1"/>
  <c r="G99" i="2"/>
  <c r="I99" i="2" s="1"/>
  <c r="G94" i="2"/>
  <c r="I94" i="2" s="1"/>
  <c r="G34" i="2"/>
  <c r="I34" i="2" s="1"/>
  <c r="G10" i="2"/>
  <c r="I10" i="2" s="1"/>
  <c r="G60" i="2"/>
  <c r="I60" i="2" s="1"/>
  <c r="G5" i="2"/>
  <c r="I5" i="2" s="1"/>
  <c r="G9" i="2"/>
  <c r="I9" i="2" s="1"/>
  <c r="G84" i="2"/>
  <c r="I84" i="2" s="1"/>
  <c r="G24" i="2"/>
  <c r="I24" i="2" s="1"/>
  <c r="G63" i="2"/>
  <c r="I63" i="2" s="1"/>
  <c r="G59" i="2"/>
  <c r="I59" i="2" s="1"/>
  <c r="G4" i="2"/>
  <c r="I4" i="2" s="1"/>
  <c r="G8" i="2"/>
  <c r="I8" i="2" s="1"/>
  <c r="G92" i="2"/>
  <c r="I92" i="2" s="1"/>
  <c r="G65" i="2"/>
  <c r="I65" i="2" s="1"/>
  <c r="G16" i="2"/>
  <c r="I16" i="2" s="1"/>
  <c r="G11" i="2"/>
  <c r="I11" i="2" s="1"/>
  <c r="G70" i="2"/>
  <c r="I70" i="2" s="1"/>
  <c r="G55" i="2"/>
  <c r="I55" i="2" s="1"/>
  <c r="G49" i="2"/>
  <c r="I49" i="2" s="1"/>
  <c r="G67" i="2"/>
  <c r="I67" i="2" s="1"/>
  <c r="G118" i="2"/>
  <c r="I118" i="2" s="1"/>
  <c r="G120" i="2"/>
  <c r="I120" i="2" s="1"/>
  <c r="G95" i="2"/>
  <c r="I95" i="2" s="1"/>
  <c r="G26" i="2"/>
  <c r="I26" i="2" s="1"/>
  <c r="G109" i="2"/>
  <c r="I109" i="2" s="1"/>
  <c r="G116" i="2"/>
  <c r="I116" i="2" s="1"/>
  <c r="G71" i="2"/>
  <c r="I71" i="2" s="1"/>
  <c r="G18" i="2"/>
  <c r="I18" i="2" s="1"/>
  <c r="G101" i="2"/>
  <c r="I101" i="2" s="1"/>
  <c r="G40" i="2"/>
  <c r="I40" i="2" s="1"/>
  <c r="G47" i="2"/>
  <c r="I47" i="2" s="1"/>
  <c r="G32" i="2"/>
  <c r="I32" i="2" s="1"/>
  <c r="G100" i="2"/>
  <c r="I100" i="2" s="1"/>
  <c r="G3" i="2"/>
  <c r="I3" i="2" s="1"/>
  <c r="G103" i="2"/>
  <c r="I103" i="2" s="1"/>
  <c r="G89" i="2"/>
  <c r="I89" i="2" s="1"/>
  <c r="G19" i="2"/>
  <c r="I19" i="2" s="1"/>
  <c r="G69" i="2"/>
  <c r="I69" i="2" s="1"/>
  <c r="G62" i="2"/>
  <c r="I62" i="2" s="1"/>
  <c r="G93" i="2"/>
  <c r="I93" i="2" s="1"/>
  <c r="G33" i="2"/>
  <c r="I33" i="2" s="1"/>
  <c r="G61" i="2"/>
  <c r="I61" i="2" s="1"/>
  <c r="G35" i="2"/>
  <c r="I35" i="2" s="1"/>
  <c r="G66" i="2"/>
  <c r="I66" i="2" s="1"/>
  <c r="G6" i="2"/>
  <c r="I6" i="2" s="1"/>
  <c r="G17" i="2"/>
  <c r="I17" i="2" s="1"/>
  <c r="G115" i="2"/>
  <c r="I115" i="2" s="1"/>
  <c r="G108" i="2"/>
  <c r="I108" i="2" s="1"/>
  <c r="G39" i="2"/>
  <c r="I39" i="2" s="1"/>
  <c r="G114" i="2"/>
  <c r="I114" i="2" s="1"/>
  <c r="G77" i="2"/>
  <c r="I77" i="2" s="1"/>
  <c r="G45" i="2"/>
  <c r="I45" i="2" s="1"/>
  <c r="G12" i="2"/>
  <c r="I12" i="2" s="1"/>
  <c r="G96" i="2"/>
  <c r="I96" i="2" s="1"/>
  <c r="G64" i="2"/>
  <c r="I64" i="2" s="1"/>
  <c r="G42" i="2"/>
  <c r="I42" i="2" s="1"/>
  <c r="G106" i="2"/>
  <c r="I106" i="2" s="1"/>
  <c r="G22" i="2"/>
  <c r="I22" i="2" s="1"/>
  <c r="G102" i="2"/>
  <c r="I102" i="2" s="1"/>
  <c r="G78" i="2"/>
  <c r="I78" i="2" s="1"/>
  <c r="G110" i="2"/>
  <c r="I110" i="2" s="1"/>
  <c r="G31" i="2"/>
  <c r="I31" i="2" s="1"/>
  <c r="G25" i="2"/>
  <c r="I25" i="2" s="1"/>
  <c r="G119" i="2"/>
  <c r="I119" i="2" s="1"/>
  <c r="G36" i="2"/>
  <c r="I36" i="2" s="1"/>
  <c r="G50" i="2"/>
  <c r="I50" i="2" s="1"/>
  <c r="G72" i="2"/>
  <c r="I72" i="2" s="1"/>
  <c r="G112" i="2"/>
  <c r="I112" i="2" s="1"/>
  <c r="G52" i="2"/>
  <c r="I52" i="2" s="1"/>
  <c r="G28" i="2"/>
  <c r="I28" i="2" s="1"/>
  <c r="G87" i="2"/>
  <c r="I87" i="2" s="1"/>
  <c r="G86" i="2"/>
  <c r="I86" i="2" s="1"/>
  <c r="G97" i="2"/>
  <c r="I97" i="2" s="1"/>
  <c r="G54" i="2"/>
  <c r="I54" i="2" s="1"/>
  <c r="G51" i="2"/>
  <c r="I51" i="2" s="1"/>
  <c r="G27" i="2"/>
  <c r="I27" i="2" s="1"/>
  <c r="G58" i="2"/>
  <c r="I58" i="2" s="1"/>
  <c r="G98" i="2"/>
  <c r="I98" i="2" s="1"/>
  <c r="G53" i="2"/>
  <c r="I53" i="2" s="1"/>
  <c r="G20" i="2"/>
  <c r="I20" i="2" s="1"/>
  <c r="G73" i="2"/>
  <c r="I73" i="2" s="1"/>
  <c r="G117" i="2"/>
  <c r="I117" i="2" s="1"/>
  <c r="G29" i="2"/>
  <c r="I29" i="2" s="1"/>
  <c r="G88" i="2"/>
  <c r="I88" i="2" s="1"/>
  <c r="G81" i="2"/>
  <c r="I81" i="2" s="1"/>
  <c r="G68" i="2"/>
  <c r="I68" i="2" s="1"/>
  <c r="G121" i="2"/>
  <c r="I121" i="2" s="1"/>
  <c r="G41" i="2"/>
  <c r="I41" i="2" s="1"/>
  <c r="G37" i="2"/>
  <c r="I37" i="2" s="1"/>
  <c r="G13" i="2"/>
  <c r="I13" i="2" s="1"/>
  <c r="G44" i="2"/>
  <c r="I44" i="2" s="1"/>
  <c r="G75" i="2"/>
  <c r="I75" i="2" s="1"/>
  <c r="G15" i="2"/>
  <c r="I15" i="2" s="1"/>
  <c r="G43" i="2"/>
  <c r="I43" i="2" s="1"/>
  <c r="G56" i="2"/>
  <c r="I56" i="2" s="1"/>
  <c r="G48" i="2"/>
  <c r="I48" i="2" s="1"/>
  <c r="G23" i="2"/>
  <c r="I23" i="2" s="1"/>
  <c r="G46" i="2"/>
  <c r="I46" i="2" s="1"/>
  <c r="G113" i="2"/>
  <c r="I113" i="2" s="1"/>
  <c r="G90" i="2"/>
  <c r="I90" i="2" s="1"/>
  <c r="G21" i="2"/>
  <c r="I21" i="2" s="1"/>
  <c r="G2" i="2"/>
  <c r="I2" i="2" s="1"/>
  <c r="I74" i="2"/>
  <c r="B25" i="2"/>
  <c r="B24" i="2"/>
  <c r="B23" i="2"/>
  <c r="B22" i="2"/>
  <c r="D97" i="2"/>
  <c r="D109" i="2" l="1"/>
  <c r="D121" i="2" l="1"/>
</calcChain>
</file>

<file path=xl/sharedStrings.xml><?xml version="1.0" encoding="utf-8"?>
<sst xmlns="http://schemas.openxmlformats.org/spreadsheetml/2006/main" count="352" uniqueCount="66">
  <si>
    <t>A0</t>
  </si>
  <si>
    <t>Trend</t>
  </si>
  <si>
    <t>Year</t>
  </si>
  <si>
    <t>Month</t>
  </si>
  <si>
    <t>Demand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</si>
  <si>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</si>
  <si>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</si>
  <si>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</si>
  <si>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</si>
  <si>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</si>
  <si>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</si>
  <si>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</si>
  <si>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</si>
  <si>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January</t>
  </si>
  <si>
    <t>February</t>
  </si>
  <si>
    <t>March</t>
  </si>
  <si>
    <t>April</t>
  </si>
  <si>
    <t>סכום של Demand</t>
  </si>
  <si>
    <t>Std</t>
  </si>
  <si>
    <t>Rand</t>
  </si>
  <si>
    <t>Avg</t>
  </si>
  <si>
    <t>Seasonality</t>
  </si>
  <si>
    <t>סה"כ</t>
  </si>
  <si>
    <t xml:space="preserve">רשום בתא הסמוך B2 את מספר תעודת הזהות שלך : </t>
  </si>
  <si>
    <t>Season</t>
  </si>
  <si>
    <t>t</t>
  </si>
  <si>
    <t>S</t>
  </si>
  <si>
    <t>varReg</t>
  </si>
  <si>
    <t>varSeas</t>
  </si>
  <si>
    <t>varTot</t>
  </si>
  <si>
    <t>rSsqare</t>
  </si>
  <si>
    <t>est</t>
  </si>
  <si>
    <t>dif</t>
  </si>
  <si>
    <t>A120</t>
  </si>
  <si>
    <t>T120</t>
  </si>
  <si>
    <t>est20</t>
  </si>
  <si>
    <t>est2</t>
  </si>
  <si>
    <t>est3</t>
  </si>
  <si>
    <t>est4</t>
  </si>
  <si>
    <t>שאלה</t>
  </si>
  <si>
    <t>סעיף</t>
  </si>
  <si>
    <t>תשובה</t>
  </si>
  <si>
    <t>ניקוד</t>
  </si>
  <si>
    <t>סוג נתון</t>
  </si>
  <si>
    <t>מספר שלם</t>
  </si>
  <si>
    <t>מחרוזת</t>
  </si>
  <si>
    <t>מספר עשרוני</t>
  </si>
  <si>
    <t>א</t>
  </si>
  <si>
    <t>ב</t>
  </si>
  <si>
    <t>ג</t>
  </si>
  <si>
    <t>ה</t>
  </si>
  <si>
    <t>ד</t>
  </si>
  <si>
    <t>גדל/קטן</t>
  </si>
  <si>
    <t>נקודות</t>
  </si>
  <si>
    <t>3א</t>
  </si>
  <si>
    <t>3ב</t>
  </si>
  <si>
    <t>4א</t>
  </si>
  <si>
    <t>4ב</t>
  </si>
  <si>
    <t>5ד</t>
  </si>
  <si>
    <t>7ו</t>
  </si>
  <si>
    <t>9א</t>
  </si>
  <si>
    <t>9ה</t>
  </si>
  <si>
    <t>Time-Series</t>
  </si>
  <si>
    <t>data_holt_winters</t>
  </si>
  <si>
    <t>קטן</t>
  </si>
  <si>
    <t>הקוד הרלוונטי הוא str(c) שבקובץ המקורי נמצא בשורה 15 ובעבודתנו בשורה 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</si>
</sst>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 * #,##0.00_ ;_ * \-#,##0.00_ ;_ * &quot;-&quot;??_ ;_ @_ "/>
    <numFmt numFmtId="164" formatCode="0.0000"/>
    <numFmt numFmtId="165" formatCode="0.00000"/>
    <numFmt numFmtId="166" formatCode="0.0"/>
  </numFmts>
  <fonts count="6" x14ac:knownFonts="1">
    <font>
      <sz val="11"/>
      <color theme="1"/>
      <name val="Arial"/>
      <family val="2"/>
      <charset val="177"/>
      <scheme val="minor"/>
    </font>
    <font>
      <b/>
      <sz val="12"/>
      <color theme="1"/>
      <name val="Arial"/>
      <family val="2"/>
      <scheme val="minor"/>
    </font>
    <font>
      <sz val="11"/>
      <color theme="1"/>
      <name val="Arial"/>
      <family val="2"/>
      <charset val="177"/>
      <scheme val="minor"/>
    </font>
    <font>
      <b/>
      <sz val="14"/>
      <color theme="1"/>
      <name val="Arial"/>
      <family val="2"/>
      <scheme val="minor"/>
    </font>
    <font>
      <sz val="11"/>
      <color rgb="FF9C5700"/>
      <name val="Arial"/>
      <family val="2"/>
      <charset val="177"/>
      <scheme val="minor"/>
    </font>
    <font>
      <sz val="10"/>
      <color rgb="FF000000"/>
      <name val="Lucida Console"/>
      <family val="3"/>
    </font>
  </fonts>
  <fills count="4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3" fontId="2" fillId="0" borderId="0" applyFont="0" applyFill="0" applyBorder="0" applyAlignment="0" applyProtection="0"/>
    <xf numFmtId="0" fontId="4" fillId="2" borderId="0" applyNumberFormat="0" applyBorder="0" applyAlignment="0" applyProtection="0"/>
  </cellStyleXfs>
  <cellXfs count="42">
    <xf numFmtId="0" fontId="0" fillId="0" borderId="0" xfId="0"/>
    <xf numFmtId="0" fontId="0" fillId="0" borderId="0" xfId="0" pivotButton="1"/>
    <xf numFmtId="164" fontId="0" fillId="0" borderId="0" xfId="0" applyNumberFormat="1"/>
    <xf numFmtId="0" fontId="1" fillId="0" borderId="0" xfId="0" applyFont="1" applyAlignment="1">
      <alignment horizontal="left" vertical="center"/>
    </xf>
    <xf numFmtId="0" fontId="1" fillId="0" borderId="1" xfId="0" applyFont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2" fontId="0" fillId="0" borderId="0" xfId="0" applyNumberFormat="1"/>
    <xf numFmtId="43" fontId="0" fillId="0" borderId="0" xfId="1" applyFont="1"/>
    <xf numFmtId="165" fontId="0" fillId="0" borderId="0" xfId="0" applyNumberFormat="1"/>
    <xf numFmtId="166" fontId="0" fillId="0" borderId="0" xfId="0" applyNumberFormat="1"/>
    <xf numFmtId="0" fontId="4" fillId="2" borderId="2" xfId="2" applyBorder="1" applyAlignment="1">
      <alignment horizontal="center"/>
    </xf>
    <xf numFmtId="0" fontId="4" fillId="3" borderId="3" xfId="2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Alignment="1">
      <alignment horizontal="center"/>
    </xf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2" xfId="0" applyFont="1" applyBorder="1"/>
    <xf numFmtId="0" fontId="3" fillId="0" borderId="9" xfId="0" applyFont="1" applyBorder="1"/>
    <xf numFmtId="0" fontId="0" fillId="0" borderId="8" xfId="0" applyBorder="1"/>
    <xf numFmtId="0" fontId="0" fillId="0" borderId="2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3" borderId="2" xfId="0" applyFill="1" applyBorder="1" applyProtection="1">
      <protection locked="0"/>
    </xf>
    <xf numFmtId="0" fontId="3" fillId="0" borderId="14" xfId="0" applyFont="1" applyBorder="1"/>
    <xf numFmtId="0" fontId="3" fillId="0" borderId="15" xfId="0" applyFont="1" applyBorder="1"/>
    <xf numFmtId="0" fontId="3" fillId="0" borderId="16" xfId="0" applyFont="1" applyBorder="1"/>
    <xf numFmtId="0" fontId="3" fillId="0" borderId="17" xfId="0" applyFont="1" applyBorder="1"/>
    <xf numFmtId="0" fontId="0" fillId="0" borderId="16" xfId="0" applyBorder="1"/>
    <xf numFmtId="0" fontId="0" fillId="0" borderId="17" xfId="0" applyBorder="1"/>
    <xf numFmtId="0" fontId="0" fillId="0" borderId="14" xfId="0" applyBorder="1"/>
    <xf numFmtId="0" fontId="0" fillId="0" borderId="15" xfId="0" applyBorder="1"/>
    <xf numFmtId="0" fontId="3" fillId="0" borderId="0" xfId="0" applyFont="1"/>
    <xf numFmtId="0" fontId="3" fillId="3" borderId="18" xfId="0" applyFont="1" applyFill="1" applyBorder="1" applyProtection="1">
      <protection locked="0"/>
    </xf>
    <xf numFmtId="0" fontId="0" fillId="3" borderId="18" xfId="0" applyFill="1" applyBorder="1" applyProtection="1">
      <protection locked="0"/>
    </xf>
    <xf numFmtId="0" fontId="5" fillId="3" borderId="0" xfId="0" applyFont="1" applyFill="1" applyAlignment="1" applyProtection="1">
      <alignment vertical="center"/>
      <protection locked="0"/>
    </xf>
    <xf numFmtId="0" fontId="5" fillId="3" borderId="0" xfId="0" quotePrefix="1" applyFont="1" applyFill="1" applyAlignment="1" applyProtection="1">
      <alignment vertical="center"/>
      <protection locked="0"/>
    </xf>
  </cellXfs>
  <cellStyles count="3">
    <cellStyle name="Comma" xfId="1" builtinId="3"/>
    <cellStyle name="Normal" xfId="0" builtinId="0"/>
    <cellStyle name="ניטראלי" xfId="2" builtinId="28"/>
  </cellStyles>
  <dxfs count="7">
    <dxf>
      <numFmt numFmtId="2" formatCode="0.00"/>
    </dxf>
    <dxf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2.xml"/><Relationship Id="rId7" Type="http://schemas.openxmlformats.org/officeDocument/2006/relationships/worksheet" Target="worksheets/sheet6.xml"/><Relationship Id="rId12" Type="http://schemas.openxmlformats.org/officeDocument/2006/relationships/calcChain" Target="calcChain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4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3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he-I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he-I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DATA!$A$1</c:f>
              <c:strCache>
                <c:ptCount val="1"/>
                <c:pt idx="0">
                  <c:v>Demand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-0.2246396408185104"/>
                  <c:y val="0.1943592088300978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600" b="1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he-IL"/>
                </a:p>
              </c:txPr>
            </c:trendlineLbl>
          </c:trendline>
          <c:yVal>
            <c:numRef>
              <c:f>DATA!$A$2:$A$121</c:f>
              <c:numCache>
                <c:formatCode>General</c:formatCode>
                <c:ptCount val="120"/>
                <c:pt idx="0">
                  <c:v>315</c:v>
                </c:pt>
                <c:pt idx="1">
                  <c:v>298</c:v>
                </c:pt>
                <c:pt idx="2">
                  <c:v>271</c:v>
                </c:pt>
                <c:pt idx="3">
                  <c:v>315</c:v>
                </c:pt>
                <c:pt idx="4">
                  <c:v>263</c:v>
                </c:pt>
                <c:pt idx="5">
                  <c:v>282</c:v>
                </c:pt>
                <c:pt idx="6">
                  <c:v>303</c:v>
                </c:pt>
                <c:pt idx="7">
                  <c:v>343</c:v>
                </c:pt>
                <c:pt idx="8">
                  <c:v>285</c:v>
                </c:pt>
                <c:pt idx="9">
                  <c:v>294</c:v>
                </c:pt>
                <c:pt idx="10">
                  <c:v>343</c:v>
                </c:pt>
                <c:pt idx="11">
                  <c:v>271</c:v>
                </c:pt>
                <c:pt idx="12">
                  <c:v>356</c:v>
                </c:pt>
                <c:pt idx="13">
                  <c:v>325</c:v>
                </c:pt>
                <c:pt idx="14">
                  <c:v>296</c:v>
                </c:pt>
                <c:pt idx="15">
                  <c:v>361</c:v>
                </c:pt>
                <c:pt idx="16">
                  <c:v>298</c:v>
                </c:pt>
                <c:pt idx="17">
                  <c:v>305</c:v>
                </c:pt>
                <c:pt idx="18">
                  <c:v>337</c:v>
                </c:pt>
                <c:pt idx="19">
                  <c:v>384</c:v>
                </c:pt>
                <c:pt idx="20">
                  <c:v>321</c:v>
                </c:pt>
                <c:pt idx="21">
                  <c:v>321</c:v>
                </c:pt>
                <c:pt idx="22">
                  <c:v>384</c:v>
                </c:pt>
                <c:pt idx="23">
                  <c:v>303</c:v>
                </c:pt>
                <c:pt idx="24">
                  <c:v>396</c:v>
                </c:pt>
                <c:pt idx="25">
                  <c:v>364</c:v>
                </c:pt>
                <c:pt idx="26">
                  <c:v>329</c:v>
                </c:pt>
                <c:pt idx="27">
                  <c:v>400</c:v>
                </c:pt>
                <c:pt idx="28">
                  <c:v>337</c:v>
                </c:pt>
                <c:pt idx="29">
                  <c:v>342</c:v>
                </c:pt>
                <c:pt idx="30">
                  <c:v>371</c:v>
                </c:pt>
                <c:pt idx="31">
                  <c:v>423</c:v>
                </c:pt>
                <c:pt idx="32">
                  <c:v>353</c:v>
                </c:pt>
                <c:pt idx="33">
                  <c:v>357</c:v>
                </c:pt>
                <c:pt idx="34">
                  <c:v>428</c:v>
                </c:pt>
                <c:pt idx="35">
                  <c:v>331</c:v>
                </c:pt>
                <c:pt idx="36">
                  <c:v>438</c:v>
                </c:pt>
                <c:pt idx="37">
                  <c:v>412</c:v>
                </c:pt>
                <c:pt idx="38">
                  <c:v>362</c:v>
                </c:pt>
                <c:pt idx="39">
                  <c:v>436</c:v>
                </c:pt>
                <c:pt idx="40">
                  <c:v>363</c:v>
                </c:pt>
                <c:pt idx="41">
                  <c:v>382</c:v>
                </c:pt>
                <c:pt idx="42">
                  <c:v>413</c:v>
                </c:pt>
                <c:pt idx="43">
                  <c:v>463</c:v>
                </c:pt>
                <c:pt idx="44">
                  <c:v>388</c:v>
                </c:pt>
                <c:pt idx="45">
                  <c:v>392</c:v>
                </c:pt>
                <c:pt idx="46">
                  <c:v>465</c:v>
                </c:pt>
                <c:pt idx="47">
                  <c:v>362</c:v>
                </c:pt>
                <c:pt idx="48">
                  <c:v>475</c:v>
                </c:pt>
                <c:pt idx="49">
                  <c:v>442</c:v>
                </c:pt>
                <c:pt idx="50">
                  <c:v>394</c:v>
                </c:pt>
                <c:pt idx="51">
                  <c:v>473</c:v>
                </c:pt>
                <c:pt idx="52">
                  <c:v>396</c:v>
                </c:pt>
                <c:pt idx="53">
                  <c:v>409</c:v>
                </c:pt>
                <c:pt idx="54">
                  <c:v>439</c:v>
                </c:pt>
                <c:pt idx="55">
                  <c:v>501</c:v>
                </c:pt>
                <c:pt idx="56">
                  <c:v>422</c:v>
                </c:pt>
                <c:pt idx="57">
                  <c:v>418</c:v>
                </c:pt>
                <c:pt idx="58">
                  <c:v>504</c:v>
                </c:pt>
                <c:pt idx="59">
                  <c:v>392</c:v>
                </c:pt>
                <c:pt idx="60">
                  <c:v>509</c:v>
                </c:pt>
                <c:pt idx="61">
                  <c:v>482</c:v>
                </c:pt>
                <c:pt idx="62">
                  <c:v>426</c:v>
                </c:pt>
                <c:pt idx="63">
                  <c:v>510</c:v>
                </c:pt>
                <c:pt idx="64">
                  <c:v>432</c:v>
                </c:pt>
                <c:pt idx="65">
                  <c:v>435</c:v>
                </c:pt>
                <c:pt idx="66">
                  <c:v>487</c:v>
                </c:pt>
                <c:pt idx="67">
                  <c:v>532</c:v>
                </c:pt>
                <c:pt idx="68">
                  <c:v>457</c:v>
                </c:pt>
                <c:pt idx="69">
                  <c:v>460</c:v>
                </c:pt>
                <c:pt idx="70">
                  <c:v>538</c:v>
                </c:pt>
                <c:pt idx="71">
                  <c:v>423</c:v>
                </c:pt>
                <c:pt idx="72">
                  <c:v>552</c:v>
                </c:pt>
                <c:pt idx="73">
                  <c:v>520</c:v>
                </c:pt>
                <c:pt idx="74">
                  <c:v>459</c:v>
                </c:pt>
                <c:pt idx="75">
                  <c:v>551</c:v>
                </c:pt>
                <c:pt idx="76">
                  <c:v>465</c:v>
                </c:pt>
                <c:pt idx="77">
                  <c:v>472</c:v>
                </c:pt>
                <c:pt idx="78">
                  <c:v>515</c:v>
                </c:pt>
                <c:pt idx="79">
                  <c:v>582</c:v>
                </c:pt>
                <c:pt idx="80">
                  <c:v>493</c:v>
                </c:pt>
                <c:pt idx="81">
                  <c:v>488</c:v>
                </c:pt>
                <c:pt idx="82">
                  <c:v>580</c:v>
                </c:pt>
                <c:pt idx="83">
                  <c:v>449</c:v>
                </c:pt>
                <c:pt idx="84">
                  <c:v>598</c:v>
                </c:pt>
                <c:pt idx="85">
                  <c:v>564</c:v>
                </c:pt>
                <c:pt idx="86">
                  <c:v>494</c:v>
                </c:pt>
                <c:pt idx="87">
                  <c:v>591</c:v>
                </c:pt>
                <c:pt idx="88">
                  <c:v>490</c:v>
                </c:pt>
                <c:pt idx="89">
                  <c:v>508</c:v>
                </c:pt>
                <c:pt idx="90">
                  <c:v>553</c:v>
                </c:pt>
                <c:pt idx="91">
                  <c:v>624</c:v>
                </c:pt>
                <c:pt idx="92">
                  <c:v>523</c:v>
                </c:pt>
                <c:pt idx="93">
                  <c:v>526</c:v>
                </c:pt>
                <c:pt idx="94">
                  <c:v>618</c:v>
                </c:pt>
                <c:pt idx="95">
                  <c:v>484</c:v>
                </c:pt>
                <c:pt idx="96">
                  <c:v>629</c:v>
                </c:pt>
                <c:pt idx="97">
                  <c:v>582</c:v>
                </c:pt>
                <c:pt idx="98">
                  <c:v>528</c:v>
                </c:pt>
                <c:pt idx="99">
                  <c:v>628</c:v>
                </c:pt>
                <c:pt idx="100">
                  <c:v>529</c:v>
                </c:pt>
                <c:pt idx="101">
                  <c:v>543</c:v>
                </c:pt>
                <c:pt idx="102">
                  <c:v>591</c:v>
                </c:pt>
                <c:pt idx="103">
                  <c:v>661</c:v>
                </c:pt>
                <c:pt idx="104">
                  <c:v>549</c:v>
                </c:pt>
                <c:pt idx="105">
                  <c:v>558</c:v>
                </c:pt>
                <c:pt idx="106">
                  <c:v>659</c:v>
                </c:pt>
                <c:pt idx="107">
                  <c:v>511</c:v>
                </c:pt>
                <c:pt idx="108">
                  <c:v>669</c:v>
                </c:pt>
                <c:pt idx="109">
                  <c:v>627</c:v>
                </c:pt>
                <c:pt idx="110">
                  <c:v>553</c:v>
                </c:pt>
                <c:pt idx="111">
                  <c:v>666</c:v>
                </c:pt>
                <c:pt idx="112">
                  <c:v>565</c:v>
                </c:pt>
                <c:pt idx="113">
                  <c:v>574</c:v>
                </c:pt>
                <c:pt idx="114">
                  <c:v>628</c:v>
                </c:pt>
                <c:pt idx="115">
                  <c:v>705</c:v>
                </c:pt>
                <c:pt idx="116">
                  <c:v>593</c:v>
                </c:pt>
                <c:pt idx="117">
                  <c:v>592</c:v>
                </c:pt>
                <c:pt idx="118">
                  <c:v>690</c:v>
                </c:pt>
                <c:pt idx="119">
                  <c:v>546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A4-41B6-8635-310E4DE320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8371976"/>
        <c:axId val="298372304"/>
      </c:scatterChart>
      <c:valAx>
        <c:axId val="2983719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e-IL"/>
          </a:p>
        </c:txPr>
        <c:crossAx val="298372304"/>
        <c:crosses val="autoZero"/>
        <c:crossBetween val="midCat"/>
      </c:valAx>
      <c:valAx>
        <c:axId val="298372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e-IL"/>
          </a:p>
        </c:txPr>
        <c:crossAx val="2983719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he-IL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40A507-E18C-48FA-B198-4349D8712D90}">
  <sheetPr/>
  <sheetViews>
    <sheetView zoomScale="81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85111" cy="6058370"/>
    <xdr:graphicFrame macro="">
      <xdr:nvGraphicFramePr>
        <xdr:cNvPr id="2" name="תרשים 1">
          <a:extLst>
            <a:ext uri="{FF2B5EF4-FFF2-40B4-BE49-F238E27FC236}">
              <a16:creationId xmlns:a16="http://schemas.microsoft.com/office/drawing/2014/main" id="{AFB099FF-2FE2-4AAE-88C7-3F10E80120C6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204107</xdr:colOff>
      <xdr:row>56</xdr:row>
      <xdr:rowOff>19518</xdr:rowOff>
    </xdr:from>
    <xdr:to>
      <xdr:col>5</xdr:col>
      <xdr:colOff>663806</xdr:colOff>
      <xdr:row>61</xdr:row>
      <xdr:rowOff>173675</xdr:rowOff>
    </xdr:to>
    <xdr:pic>
      <xdr:nvPicPr>
        <xdr:cNvPr id="10" name="תמונה 9">
          <a:extLst>
            <a:ext uri="{FF2B5EF4-FFF2-40B4-BE49-F238E27FC236}">
              <a16:creationId xmlns:a16="http://schemas.microsoft.com/office/drawing/2014/main" id="{543F6C9A-C963-C06B-ACFB-6004735E1C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10612" y="12256227"/>
          <a:ext cx="1839852" cy="1077499"/>
        </a:xfrm>
        <a:prstGeom prst="rect">
          <a:avLst/>
        </a:prstGeom>
      </xdr:spPr>
    </xdr:pic>
    <xdr:clientData/>
  </xdr:twoCellAnchor>
  <xdr:twoCellAnchor editAs="oneCell">
    <xdr:from>
      <xdr:col>2</xdr:col>
      <xdr:colOff>680357</xdr:colOff>
      <xdr:row>63</xdr:row>
      <xdr:rowOff>38878</xdr:rowOff>
    </xdr:from>
    <xdr:to>
      <xdr:col>5</xdr:col>
      <xdr:colOff>667712</xdr:colOff>
      <xdr:row>69</xdr:row>
      <xdr:rowOff>126161</xdr:rowOff>
    </xdr:to>
    <xdr:pic>
      <xdr:nvPicPr>
        <xdr:cNvPr id="11" name="תמונה 10">
          <a:extLst>
            <a:ext uri="{FF2B5EF4-FFF2-40B4-BE49-F238E27FC236}">
              <a16:creationId xmlns:a16="http://schemas.microsoft.com/office/drawing/2014/main" id="{3A659D4B-5F10-7765-2AD3-6DA0F6A77E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96786" y="13616863"/>
          <a:ext cx="2057584" cy="1205012"/>
        </a:xfrm>
        <a:prstGeom prst="rect">
          <a:avLst/>
        </a:prstGeom>
      </xdr:spPr>
    </xdr:pic>
    <xdr:clientData/>
  </xdr:twoCellAnchor>
  <xdr:twoCellAnchor editAs="oneCell">
    <xdr:from>
      <xdr:col>1</xdr:col>
      <xdr:colOff>54544</xdr:colOff>
      <xdr:row>3</xdr:row>
      <xdr:rowOff>29157</xdr:rowOff>
    </xdr:from>
    <xdr:to>
      <xdr:col>5</xdr:col>
      <xdr:colOff>630048</xdr:colOff>
      <xdr:row>11</xdr:row>
      <xdr:rowOff>116633</xdr:rowOff>
    </xdr:to>
    <xdr:pic>
      <xdr:nvPicPr>
        <xdr:cNvPr id="2" name="תמונה 1">
          <a:extLst>
            <a:ext uri="{FF2B5EF4-FFF2-40B4-BE49-F238E27FC236}">
              <a16:creationId xmlns:a16="http://schemas.microsoft.com/office/drawing/2014/main" id="{7D929BA6-4096-4D05-DD4A-8C5B362D9D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80896" y="728953"/>
          <a:ext cx="3335810" cy="1953598"/>
        </a:xfrm>
        <a:prstGeom prst="rect">
          <a:avLst/>
        </a:prstGeom>
      </xdr:spPr>
    </xdr:pic>
    <xdr:clientData/>
  </xdr:twoCellAnchor>
  <xdr:twoCellAnchor editAs="oneCell">
    <xdr:from>
      <xdr:col>1</xdr:col>
      <xdr:colOff>434392</xdr:colOff>
      <xdr:row>13</xdr:row>
      <xdr:rowOff>68035</xdr:rowOff>
    </xdr:from>
    <xdr:to>
      <xdr:col>5</xdr:col>
      <xdr:colOff>659205</xdr:colOff>
      <xdr:row>20</xdr:row>
      <xdr:rowOff>183396</xdr:rowOff>
    </xdr:to>
    <xdr:pic>
      <xdr:nvPicPr>
        <xdr:cNvPr id="12" name="תמונה 11">
          <a:extLst>
            <a:ext uri="{FF2B5EF4-FFF2-40B4-BE49-F238E27FC236}">
              <a16:creationId xmlns:a16="http://schemas.microsoft.com/office/drawing/2014/main" id="{516BF106-F456-FE2C-C4E0-2D031A037B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60744" y="3100484"/>
          <a:ext cx="2985119" cy="1748218"/>
        </a:xfrm>
        <a:prstGeom prst="rect">
          <a:avLst/>
        </a:prstGeom>
      </xdr:spPr>
    </xdr:pic>
    <xdr:clientData/>
  </xdr:twoCellAnchor>
  <xdr:twoCellAnchor editAs="oneCell">
    <xdr:from>
      <xdr:col>2</xdr:col>
      <xdr:colOff>385876</xdr:colOff>
      <xdr:row>22</xdr:row>
      <xdr:rowOff>38877</xdr:rowOff>
    </xdr:from>
    <xdr:to>
      <xdr:col>5</xdr:col>
      <xdr:colOff>620326</xdr:colOff>
      <xdr:row>28</xdr:row>
      <xdr:rowOff>23</xdr:rowOff>
    </xdr:to>
    <xdr:pic>
      <xdr:nvPicPr>
        <xdr:cNvPr id="13" name="תמונה 12">
          <a:extLst>
            <a:ext uri="{FF2B5EF4-FFF2-40B4-BE49-F238E27FC236}">
              <a16:creationId xmlns:a16="http://schemas.microsoft.com/office/drawing/2014/main" id="{2B3D1F16-364E-CE5B-81BD-4CD653E75A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02305" y="5170714"/>
          <a:ext cx="2304679" cy="1349722"/>
        </a:xfrm>
        <a:prstGeom prst="rect">
          <a:avLst/>
        </a:prstGeom>
      </xdr:spPr>
    </xdr:pic>
    <xdr:clientData/>
  </xdr:twoCellAnchor>
  <xdr:twoCellAnchor editAs="oneCell">
    <xdr:from>
      <xdr:col>2</xdr:col>
      <xdr:colOff>397243</xdr:colOff>
      <xdr:row>29</xdr:row>
      <xdr:rowOff>15982</xdr:rowOff>
    </xdr:from>
    <xdr:to>
      <xdr:col>5</xdr:col>
      <xdr:colOff>639768</xdr:colOff>
      <xdr:row>34</xdr:row>
      <xdr:rowOff>204107</xdr:rowOff>
    </xdr:to>
    <xdr:pic>
      <xdr:nvPicPr>
        <xdr:cNvPr id="14" name="תמונה 13">
          <a:extLst>
            <a:ext uri="{FF2B5EF4-FFF2-40B4-BE49-F238E27FC236}">
              <a16:creationId xmlns:a16="http://schemas.microsoft.com/office/drawing/2014/main" id="{B903F515-3414-C666-F80B-A5DE270F99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213672" y="6780676"/>
          <a:ext cx="2312754" cy="1354451"/>
        </a:xfrm>
        <a:prstGeom prst="rect">
          <a:avLst/>
        </a:prstGeom>
      </xdr:spPr>
    </xdr:pic>
    <xdr:clientData/>
  </xdr:twoCellAnchor>
  <xdr:twoCellAnchor editAs="oneCell">
    <xdr:from>
      <xdr:col>3</xdr:col>
      <xdr:colOff>233265</xdr:colOff>
      <xdr:row>36</xdr:row>
      <xdr:rowOff>19438</xdr:rowOff>
    </xdr:from>
    <xdr:to>
      <xdr:col>5</xdr:col>
      <xdr:colOff>678679</xdr:colOff>
      <xdr:row>41</xdr:row>
      <xdr:rowOff>165229</xdr:rowOff>
    </xdr:to>
    <xdr:pic>
      <xdr:nvPicPr>
        <xdr:cNvPr id="15" name="תמונה 14">
          <a:extLst>
            <a:ext uri="{FF2B5EF4-FFF2-40B4-BE49-F238E27FC236}">
              <a16:creationId xmlns:a16="http://schemas.microsoft.com/office/drawing/2014/main" id="{E42B0620-DD76-04BA-BF80-1C652B2375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739770" y="8416989"/>
          <a:ext cx="1825567" cy="1069133"/>
        </a:xfrm>
        <a:prstGeom prst="rect">
          <a:avLst/>
        </a:prstGeom>
      </xdr:spPr>
    </xdr:pic>
    <xdr:clientData/>
  </xdr:twoCellAnchor>
  <xdr:twoCellAnchor editAs="oneCell">
    <xdr:from>
      <xdr:col>3</xdr:col>
      <xdr:colOff>102578</xdr:colOff>
      <xdr:row>42</xdr:row>
      <xdr:rowOff>227008</xdr:rowOff>
    </xdr:from>
    <xdr:to>
      <xdr:col>5</xdr:col>
      <xdr:colOff>658506</xdr:colOff>
      <xdr:row>48</xdr:row>
      <xdr:rowOff>168519</xdr:rowOff>
    </xdr:to>
    <xdr:pic>
      <xdr:nvPicPr>
        <xdr:cNvPr id="4" name="תמונה 3">
          <a:extLst>
            <a:ext uri="{FF2B5EF4-FFF2-40B4-BE49-F238E27FC236}">
              <a16:creationId xmlns:a16="http://schemas.microsoft.com/office/drawing/2014/main" id="{59061C2F-E47F-E606-E3EE-FCD4B2F17E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604597" y="9502893"/>
          <a:ext cx="1933390" cy="1084511"/>
        </a:xfrm>
        <a:prstGeom prst="rect">
          <a:avLst/>
        </a:prstGeom>
      </xdr:spPr>
    </xdr:pic>
    <xdr:clientData/>
  </xdr:twoCellAnchor>
  <xdr:twoCellAnchor editAs="oneCell">
    <xdr:from>
      <xdr:col>3</xdr:col>
      <xdr:colOff>476250</xdr:colOff>
      <xdr:row>50</xdr:row>
      <xdr:rowOff>15875</xdr:rowOff>
    </xdr:from>
    <xdr:to>
      <xdr:col>5</xdr:col>
      <xdr:colOff>639245</xdr:colOff>
      <xdr:row>55</xdr:row>
      <xdr:rowOff>0</xdr:rowOff>
    </xdr:to>
    <xdr:pic>
      <xdr:nvPicPr>
        <xdr:cNvPr id="5" name="תמונה 4">
          <a:extLst>
            <a:ext uri="{FF2B5EF4-FFF2-40B4-BE49-F238E27FC236}">
              <a16:creationId xmlns:a16="http://schemas.microsoft.com/office/drawing/2014/main" id="{76EE0E2D-3B49-1316-BF99-ED9173FA92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968500" y="10556875"/>
          <a:ext cx="1528245" cy="85725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נועה" refreshedDate="45321.722607986114" createdVersion="6" refreshedVersion="8" minRefreshableVersion="3" recordCount="120" xr:uid="{3670ABC6-6E0B-4280-9C74-CC71BA33445C}">
  <cacheSource type="worksheet">
    <worksheetSource name="טבלה1"/>
  </cacheSource>
  <cacheFields count="6">
    <cacheField name="Year" numFmtId="0">
      <sharedItems containsSemiMixedTypes="0" containsString="0" containsNumber="1" containsInteger="1" minValue="2008" maxValue="2022" count="15">
        <n v="2013"/>
        <n v="2014"/>
        <n v="2015"/>
        <n v="2016"/>
        <n v="2017"/>
        <n v="2018"/>
        <n v="2019"/>
        <n v="2020"/>
        <n v="2021"/>
        <n v="2022"/>
        <n v="2012" u="1"/>
        <n v="2008" u="1"/>
        <n v="2011" u="1"/>
        <n v="2009" u="1"/>
        <n v="2010" u="1"/>
      </sharedItems>
    </cacheField>
    <cacheField name="Month" numFmtId="0">
      <sharedItems count="12">
        <s v="January"/>
        <s v="February"/>
        <s v="March"/>
        <s v="April"/>
        <s v="May"/>
        <s v="June"/>
        <s v="July"/>
        <s v="August"/>
        <s v="September"/>
        <s v="October"/>
        <s v="November"/>
        <s v="December"/>
      </sharedItems>
    </cacheField>
    <cacheField name="Rand" numFmtId="165">
      <sharedItems containsSemiMixedTypes="0" containsString="0" containsNumber="1" minValue="6.6918217186138218E-3" maxValue="0.99369595233558583"/>
    </cacheField>
    <cacheField name="Demand" numFmtId="0">
      <sharedItems containsSemiMixedTypes="0" containsString="0" containsNumber="1" containsInteger="1" minValue="263" maxValue="705"/>
    </cacheField>
    <cacheField name="est" numFmtId="0">
      <sharedItems containsSemiMixedTypes="0" containsString="0" containsNumber="1" minValue="265.71440000000001" maxValue="701.77519999999993"/>
    </cacheField>
    <cacheField name="dif" numFmtId="0">
      <sharedItems containsSemiMixedTypes="0" containsString="0" containsNumber="1" minValue="-10.309599999999932" maxValue="9.846399999999903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0">
  <r>
    <x v="0"/>
    <x v="0"/>
    <n v="0.35311165771465824"/>
    <n v="315"/>
    <n v="316.89280000000002"/>
    <n v="-1.8928000000000225"/>
  </r>
  <r>
    <x v="0"/>
    <x v="1"/>
    <n v="0.5213583362845341"/>
    <n v="298"/>
    <n v="297.3152"/>
    <n v="0.68479999999999563"/>
  </r>
  <r>
    <x v="0"/>
    <x v="2"/>
    <n v="0.92894663203268202"/>
    <n v="271"/>
    <n v="265.71440000000001"/>
    <n v="5.2855999999999881"/>
  </r>
  <r>
    <x v="0"/>
    <x v="3"/>
    <n v="0.24020542691938918"/>
    <n v="315"/>
    <n v="318.01839999999999"/>
    <n v="-3.0183999999999855"/>
  </r>
  <r>
    <x v="0"/>
    <x v="4"/>
    <n v="5.3601241662121102E-2"/>
    <n v="263"/>
    <n v="268.17700000000002"/>
    <n v="-5.1770000000000209"/>
  </r>
  <r>
    <x v="0"/>
    <x v="5"/>
    <n v="0.94941734247860354"/>
    <n v="282"/>
    <n v="276.80519999999996"/>
    <n v="5.1948000000000434"/>
  </r>
  <r>
    <x v="0"/>
    <x v="6"/>
    <n v="0.48737855767031246"/>
    <n v="303"/>
    <n v="303.58580000000001"/>
    <n v="-0.58580000000000609"/>
  </r>
  <r>
    <x v="0"/>
    <x v="7"/>
    <n v="0.46612862237960306"/>
    <n v="343"/>
    <n v="342.97759999999994"/>
    <n v="2.2400000000061482E-2"/>
  </r>
  <r>
    <x v="0"/>
    <x v="8"/>
    <n v="0.15716117739962987"/>
    <n v="285"/>
    <n v="288.07239999999996"/>
    <n v="-3.0723999999999592"/>
  </r>
  <r>
    <x v="0"/>
    <x v="9"/>
    <n v="0.80143036526559919"/>
    <n v="294"/>
    <n v="290.83599999999996"/>
    <n v="3.1640000000000441"/>
  </r>
  <r>
    <x v="0"/>
    <x v="10"/>
    <n v="0.20926276613465977"/>
    <n v="343"/>
    <n v="346.69740000000002"/>
    <n v="-3.697400000000016"/>
  </r>
  <r>
    <x v="0"/>
    <x v="11"/>
    <n v="0.44797698137269348"/>
    <n v="271"/>
    <n v="271.14079999999996"/>
    <n v="-0.14079999999995607"/>
  </r>
  <r>
    <x v="1"/>
    <x v="0"/>
    <n v="0.42300552119886148"/>
    <n v="356"/>
    <n v="356.40640000000008"/>
    <n v="-0.40640000000007603"/>
  </r>
  <r>
    <x v="1"/>
    <x v="1"/>
    <n v="1.0245109368927086E-2"/>
    <n v="325"/>
    <n v="334.00639999999999"/>
    <n v="-9.0063999999999851"/>
  </r>
  <r>
    <x v="1"/>
    <x v="2"/>
    <n v="0.26670340445409502"/>
    <n v="296"/>
    <n v="298.17200000000003"/>
    <n v="-2.1720000000000255"/>
  </r>
  <r>
    <x v="1"/>
    <x v="3"/>
    <n v="0.87925425662967094"/>
    <n v="361"/>
    <n v="356.47360000000003"/>
    <n v="4.5263999999999669"/>
  </r>
  <r>
    <x v="1"/>
    <x v="4"/>
    <n v="0.2452056944848876"/>
    <n v="298"/>
    <n v="300.28180000000003"/>
    <n v="-2.2818000000000325"/>
  </r>
  <r>
    <x v="1"/>
    <x v="5"/>
    <n v="7.73358984933189E-2"/>
    <n v="305"/>
    <n v="309.61559999999997"/>
    <n v="-4.6155999999999722"/>
  </r>
  <r>
    <x v="1"/>
    <x v="6"/>
    <n v="0.270071083987936"/>
    <n v="337"/>
    <n v="339.21860000000004"/>
    <n v="-2.2186000000000377"/>
  </r>
  <r>
    <x v="1"/>
    <x v="7"/>
    <n v="0.65290737591720216"/>
    <n v="384"/>
    <n v="382.84399999999999"/>
    <n v="1.1560000000000059"/>
  </r>
  <r>
    <x v="1"/>
    <x v="8"/>
    <n v="0.41816688764558951"/>
    <n v="321"/>
    <n v="321.23559999999998"/>
    <n v="-0.23559999999997672"/>
  </r>
  <r>
    <x v="1"/>
    <x v="9"/>
    <n v="0.21345676761152232"/>
    <n v="321"/>
    <n v="323.99919999999997"/>
    <n v="-2.9991999999999734"/>
  </r>
  <r>
    <x v="1"/>
    <x v="10"/>
    <n v="0.2991469246473365"/>
    <n v="384"/>
    <n v="385.85820000000001"/>
    <n v="-1.8582000000000107"/>
  </r>
  <r>
    <x v="1"/>
    <x v="11"/>
    <n v="0.65982856909751941"/>
    <n v="303"/>
    <n v="301.48160000000001"/>
    <n v="1.5183999999999855"/>
  </r>
  <r>
    <x v="2"/>
    <x v="0"/>
    <n v="0.47840217716732003"/>
    <n v="396"/>
    <n v="395.92"/>
    <n v="7.9999999999984084E-2"/>
  </r>
  <r>
    <x v="2"/>
    <x v="1"/>
    <n v="4.4119705757260985E-2"/>
    <n v="364"/>
    <n v="370.69760000000002"/>
    <n v="-6.6976000000000226"/>
  </r>
  <r>
    <x v="2"/>
    <x v="2"/>
    <n v="0.33787942276095417"/>
    <n v="329"/>
    <n v="330.62959999999998"/>
    <n v="-1.6295999999999822"/>
  </r>
  <r>
    <x v="2"/>
    <x v="3"/>
    <n v="0.88045157162606658"/>
    <n v="400"/>
    <n v="394.92880000000002"/>
    <n v="5.0711999999999762"/>
  </r>
  <r>
    <x v="2"/>
    <x v="4"/>
    <n v="0.91049725523246228"/>
    <n v="337"/>
    <n v="332.38659999999999"/>
    <n v="4.6134000000000128"/>
  </r>
  <r>
    <x v="2"/>
    <x v="5"/>
    <n v="0.48996938980165317"/>
    <n v="342"/>
    <n v="342.42599999999999"/>
    <n v="-0.42599999999998772"/>
  </r>
  <r>
    <x v="2"/>
    <x v="6"/>
    <n v="0.14293528729312299"/>
    <n v="371"/>
    <n v="374.85140000000001"/>
    <n v="-3.8514000000000124"/>
  </r>
  <r>
    <x v="2"/>
    <x v="7"/>
    <n v="0.53295612029394446"/>
    <n v="423"/>
    <n v="422.71039999999994"/>
    <n v="0.28960000000006403"/>
  </r>
  <r>
    <x v="2"/>
    <x v="8"/>
    <n v="0.35576848031554231"/>
    <n v="353"/>
    <n v="354.39879999999994"/>
    <n v="-1.3987999999999374"/>
  </r>
  <r>
    <x v="2"/>
    <x v="9"/>
    <n v="0.53857967416503483"/>
    <n v="357"/>
    <n v="357.16239999999993"/>
    <n v="-0.16239999999993415"/>
  </r>
  <r>
    <x v="2"/>
    <x v="10"/>
    <n v="0.76695674755081611"/>
    <n v="428"/>
    <n v="425.01900000000001"/>
    <n v="2.9809999999999945"/>
  </r>
  <r>
    <x v="2"/>
    <x v="11"/>
    <n v="0.39633701848566794"/>
    <n v="331"/>
    <n v="331.82240000000002"/>
    <n v="-0.82240000000001601"/>
  </r>
  <r>
    <x v="3"/>
    <x v="0"/>
    <n v="0.70541149912146073"/>
    <n v="438"/>
    <n v="435.43360000000001"/>
    <n v="2.5663999999999874"/>
  </r>
  <r>
    <x v="3"/>
    <x v="1"/>
    <n v="0.90324508479996346"/>
    <n v="412"/>
    <n v="407.38880000000006"/>
    <n v="4.6111999999999398"/>
  </r>
  <r>
    <x v="3"/>
    <x v="2"/>
    <n v="0.36546225405022792"/>
    <n v="362"/>
    <n v="363.0872"/>
    <n v="-1.0871999999999957"/>
  </r>
  <r>
    <x v="3"/>
    <x v="3"/>
    <n v="0.76801504440815782"/>
    <n v="436"/>
    <n v="433.38400000000007"/>
    <n v="2.6159999999999286"/>
  </r>
  <r>
    <x v="3"/>
    <x v="4"/>
    <n v="0.36087163642345466"/>
    <n v="363"/>
    <n v="364.4914"/>
    <n v="-1.4913999999999987"/>
  </r>
  <r>
    <x v="3"/>
    <x v="5"/>
    <n v="0.97069118831884826"/>
    <n v="382"/>
    <n v="375.2364"/>
    <n v="6.7635999999999967"/>
  </r>
  <r>
    <x v="3"/>
    <x v="6"/>
    <n v="0.78654817818220735"/>
    <n v="413"/>
    <n v="410.48420000000004"/>
    <n v="2.5157999999999561"/>
  </r>
  <r>
    <x v="3"/>
    <x v="7"/>
    <n v="0.53059309587176207"/>
    <n v="463"/>
    <n v="462.57679999999999"/>
    <n v="0.42320000000000846"/>
  </r>
  <r>
    <x v="3"/>
    <x v="8"/>
    <n v="0.5094803402993402"/>
    <n v="388"/>
    <n v="387.56200000000001"/>
    <n v="0.43799999999998818"/>
  </r>
  <r>
    <x v="3"/>
    <x v="9"/>
    <n v="0.67189767824342661"/>
    <n v="392"/>
    <n v="390.32560000000001"/>
    <n v="1.6743999999999915"/>
  </r>
  <r>
    <x v="3"/>
    <x v="10"/>
    <n v="0.58614481638493687"/>
    <n v="465"/>
    <n v="464.17980000000006"/>
    <n v="0.82019999999994297"/>
  </r>
  <r>
    <x v="3"/>
    <x v="11"/>
    <n v="0.50456069119032798"/>
    <n v="362"/>
    <n v="362.16320000000002"/>
    <n v="-0.16320000000001755"/>
  </r>
  <r>
    <x v="4"/>
    <x v="0"/>
    <n v="0.5480785086160912"/>
    <n v="475"/>
    <n v="474.94720000000007"/>
    <n v="5.2799999999933789E-2"/>
  </r>
  <r>
    <x v="4"/>
    <x v="1"/>
    <n v="0.33035306574334999"/>
    <n v="442"/>
    <n v="444.08000000000004"/>
    <n v="-2.0800000000000409"/>
  </r>
  <r>
    <x v="4"/>
    <x v="2"/>
    <n v="0.36465378045682129"/>
    <n v="394"/>
    <n v="395.54480000000001"/>
    <n v="-1.5448000000000093"/>
  </r>
  <r>
    <x v="4"/>
    <x v="3"/>
    <n v="0.58294348159959231"/>
    <n v="473"/>
    <n v="471.83920000000001"/>
    <n v="1.1607999999999947"/>
  </r>
  <r>
    <x v="4"/>
    <x v="4"/>
    <n v="0.45935400908555546"/>
    <n v="396"/>
    <n v="396.59620000000001"/>
    <n v="-0.59620000000001028"/>
  </r>
  <r>
    <x v="4"/>
    <x v="5"/>
    <n v="0.64403166005948831"/>
    <n v="409"/>
    <n v="408.04679999999996"/>
    <n v="0.95320000000003802"/>
  </r>
  <r>
    <x v="4"/>
    <x v="6"/>
    <n v="3.2303352282283537E-2"/>
    <n v="439"/>
    <n v="446.11700000000002"/>
    <n v="-7.1170000000000186"/>
  </r>
  <r>
    <x v="4"/>
    <x v="7"/>
    <n v="0.39352102751751805"/>
    <n v="501"/>
    <n v="502.44319999999993"/>
    <n v="-1.4431999999999334"/>
  </r>
  <r>
    <x v="4"/>
    <x v="8"/>
    <n v="0.62929261166817807"/>
    <n v="422"/>
    <n v="420.72519999999997"/>
    <n v="1.2748000000000275"/>
  </r>
  <r>
    <x v="4"/>
    <x v="9"/>
    <n v="6.7285370321286786E-2"/>
    <n v="418"/>
    <n v="423.48879999999997"/>
    <n v="-5.4887999999999693"/>
  </r>
  <r>
    <x v="4"/>
    <x v="10"/>
    <n v="0.59065986392097924"/>
    <n v="504"/>
    <n v="503.34060000000011"/>
    <n v="0.65939999999989141"/>
  </r>
  <r>
    <x v="4"/>
    <x v="11"/>
    <n v="0.49237211779282053"/>
    <n v="392"/>
    <n v="392.50399999999996"/>
    <n v="-0.50399999999996226"/>
  </r>
  <r>
    <x v="5"/>
    <x v="0"/>
    <n v="9.5629801378616208E-2"/>
    <n v="509"/>
    <n v="514.46080000000006"/>
    <n v="-5.4608000000000629"/>
  </r>
  <r>
    <x v="5"/>
    <x v="1"/>
    <n v="0.6464013132198787"/>
    <n v="482"/>
    <n v="480.77119999999996"/>
    <n v="1.2288000000000352"/>
  </r>
  <r>
    <x v="5"/>
    <x v="2"/>
    <n v="0.2962136576727965"/>
    <n v="426"/>
    <n v="428.00240000000002"/>
    <n v="-2.0024000000000228"/>
  </r>
  <r>
    <x v="5"/>
    <x v="3"/>
    <n v="0.46183086395477824"/>
    <n v="510"/>
    <n v="510.2944"/>
    <n v="-0.294399999999996"/>
  </r>
  <r>
    <x v="5"/>
    <x v="4"/>
    <n v="0.8402355446311397"/>
    <n v="432"/>
    <n v="428.70100000000002"/>
    <n v="3.2989999999999782"/>
  </r>
  <r>
    <x v="5"/>
    <x v="5"/>
    <n v="4.2504952946302854E-2"/>
    <n v="435"/>
    <n v="440.85719999999992"/>
    <n v="-5.8571999999999207"/>
  </r>
  <r>
    <x v="5"/>
    <x v="6"/>
    <n v="0.93498944277003515"/>
    <n v="487"/>
    <n v="481.74980000000005"/>
    <n v="5.2501999999999498"/>
  </r>
  <r>
    <x v="5"/>
    <x v="7"/>
    <n v="6.6918217186138218E-3"/>
    <n v="532"/>
    <n v="542.30959999999993"/>
    <n v="-10.309599999999932"/>
  </r>
  <r>
    <x v="5"/>
    <x v="8"/>
    <n v="0.84623776912246862"/>
    <n v="457"/>
    <n v="453.88839999999999"/>
    <n v="3.1116000000000099"/>
  </r>
  <r>
    <x v="5"/>
    <x v="9"/>
    <n v="0.85740758623276092"/>
    <n v="460"/>
    <n v="456.65199999999993"/>
    <n v="3.34800000000007"/>
  </r>
  <r>
    <x v="5"/>
    <x v="10"/>
    <n v="0.11062762296410966"/>
    <n v="538"/>
    <n v="542.5014000000001"/>
    <n v="-4.5014000000001033"/>
  </r>
  <r>
    <x v="5"/>
    <x v="11"/>
    <n v="0.58085603111547535"/>
    <n v="423"/>
    <n v="422.84480000000002"/>
    <n v="0.15519999999997935"/>
  </r>
  <r>
    <x v="6"/>
    <x v="0"/>
    <n v="0.28390601587785946"/>
    <n v="552"/>
    <n v="553.97440000000006"/>
    <n v="-1.9744000000000597"/>
  </r>
  <r>
    <x v="6"/>
    <x v="1"/>
    <n v="0.70837344540924851"/>
    <n v="520"/>
    <n v="517.4624"/>
    <n v="2.5375999999999976"/>
  </r>
  <r>
    <x v="6"/>
    <x v="2"/>
    <n v="0.28418938538745575"/>
    <n v="459"/>
    <n v="460.46000000000004"/>
    <n v="-1.4600000000000364"/>
  </r>
  <r>
    <x v="6"/>
    <x v="3"/>
    <n v="0.74689557159804687"/>
    <n v="551"/>
    <n v="548.74959999999999"/>
    <n v="2.2504000000000133"/>
  </r>
  <r>
    <x v="6"/>
    <x v="4"/>
    <n v="0.90391822383837628"/>
    <n v="465"/>
    <n v="460.80580000000003"/>
    <n v="4.1941999999999666"/>
  </r>
  <r>
    <x v="6"/>
    <x v="5"/>
    <n v="0.27641732405665009"/>
    <n v="472"/>
    <n v="473.66759999999994"/>
    <n v="-1.6675999999999362"/>
  </r>
  <r>
    <x v="6"/>
    <x v="6"/>
    <n v="0.25503834135899783"/>
    <n v="515"/>
    <n v="517.38260000000002"/>
    <n v="-2.3826000000000249"/>
  </r>
  <r>
    <x v="6"/>
    <x v="7"/>
    <n v="0.48229776996460871"/>
    <n v="582"/>
    <n v="582.17600000000004"/>
    <n v="-0.17600000000004457"/>
  </r>
  <r>
    <x v="6"/>
    <x v="8"/>
    <n v="0.95941319866311836"/>
    <n v="493"/>
    <n v="487.05159999999995"/>
    <n v="5.9484000000000492"/>
  </r>
  <r>
    <x v="6"/>
    <x v="9"/>
    <n v="0.2815806080726212"/>
    <n v="488"/>
    <n v="489.81519999999989"/>
    <n v="-1.8151999999998907"/>
  </r>
  <r>
    <x v="6"/>
    <x v="10"/>
    <n v="0.29846193248755393"/>
    <n v="580"/>
    <n v="581.66219999999998"/>
    <n v="-1.6621999999999844"/>
  </r>
  <r>
    <x v="6"/>
    <x v="11"/>
    <n v="8.5912917336436245E-2"/>
    <n v="449"/>
    <n v="453.18560000000002"/>
    <n v="-4.1856000000000222"/>
  </r>
  <r>
    <x v="7"/>
    <x v="0"/>
    <n v="0.87946916279241516"/>
    <n v="598"/>
    <n v="593.48800000000006"/>
    <n v="4.5119999999999436"/>
  </r>
  <r>
    <x v="7"/>
    <x v="1"/>
    <n v="0.99369595233558583"/>
    <n v="564"/>
    <n v="554.1536000000001"/>
    <n v="9.8463999999999032"/>
  </r>
  <r>
    <x v="7"/>
    <x v="2"/>
    <n v="0.61239867819103111"/>
    <n v="494"/>
    <n v="492.91759999999999"/>
    <n v="1.0824000000000069"/>
  </r>
  <r>
    <x v="7"/>
    <x v="3"/>
    <n v="0.8532293490057048"/>
    <n v="591"/>
    <n v="587.20480000000009"/>
    <n v="3.7951999999999089"/>
  </r>
  <r>
    <x v="7"/>
    <x v="4"/>
    <n v="0.16400387240688385"/>
    <n v="490"/>
    <n v="492.91059999999999"/>
    <n v="-2.9105999999999881"/>
  </r>
  <r>
    <x v="7"/>
    <x v="5"/>
    <n v="0.69497308658269707"/>
    <n v="508"/>
    <n v="506.47800000000001"/>
    <n v="1.5219999999999914"/>
  </r>
  <r>
    <x v="7"/>
    <x v="6"/>
    <n v="0.47869549001952649"/>
    <n v="553"/>
    <n v="553.0154"/>
    <n v="-1.5399999999999636E-2"/>
  </r>
  <r>
    <x v="7"/>
    <x v="7"/>
    <n v="0.71230643116123471"/>
    <n v="624"/>
    <n v="622.04239999999993"/>
    <n v="1.9576000000000704"/>
  </r>
  <r>
    <x v="7"/>
    <x v="8"/>
    <n v="0.75382866239144941"/>
    <n v="523"/>
    <n v="520.21480000000008"/>
    <n v="2.785199999999918"/>
  </r>
  <r>
    <x v="7"/>
    <x v="9"/>
    <n v="0.82837810048871152"/>
    <n v="526"/>
    <n v="522.97839999999997"/>
    <n v="3.0216000000000349"/>
  </r>
  <r>
    <x v="7"/>
    <x v="10"/>
    <n v="0.23539218252030825"/>
    <n v="618"/>
    <n v="620.82299999999998"/>
    <n v="-2.8229999999999791"/>
  </r>
  <r>
    <x v="7"/>
    <x v="11"/>
    <n v="0.58531355714517963"/>
    <n v="484"/>
    <n v="483.52640000000002"/>
    <n v="0.47359999999997626"/>
  </r>
  <r>
    <x v="8"/>
    <x v="0"/>
    <n v="0.15974281923178346"/>
    <n v="629"/>
    <n v="633.00160000000017"/>
    <n v="-4.0016000000001668"/>
  </r>
  <r>
    <x v="8"/>
    <x v="1"/>
    <n v="1.4308532713406041E-2"/>
    <n v="582"/>
    <n v="590.84480000000008"/>
    <n v="-8.8448000000000775"/>
  </r>
  <r>
    <x v="8"/>
    <x v="2"/>
    <n v="0.79904369548354492"/>
    <n v="528"/>
    <n v="525.37519999999995"/>
    <n v="2.6248000000000502"/>
  </r>
  <r>
    <x v="8"/>
    <x v="3"/>
    <n v="0.75039249931715313"/>
    <n v="628"/>
    <n v="625.66000000000008"/>
    <n v="2.3399999999999181"/>
  </r>
  <r>
    <x v="8"/>
    <x v="4"/>
    <n v="0.9047863500593607"/>
    <n v="529"/>
    <n v="525.01540000000011"/>
    <n v="3.9845999999998867"/>
  </r>
  <r>
    <x v="8"/>
    <x v="5"/>
    <n v="0.88396179462573887"/>
    <n v="543"/>
    <n v="539.28839999999991"/>
    <n v="3.7116000000000895"/>
  </r>
  <r>
    <x v="8"/>
    <x v="6"/>
    <n v="0.76884356370937035"/>
    <n v="591"/>
    <n v="588.64819999999997"/>
    <n v="2.3518000000000256"/>
  </r>
  <r>
    <x v="8"/>
    <x v="7"/>
    <n v="0.41799661726531911"/>
    <n v="661"/>
    <n v="661.90879999999993"/>
    <n v="-0.90879999999992833"/>
  </r>
  <r>
    <x v="8"/>
    <x v="8"/>
    <n v="0.12722331554144839"/>
    <n v="549"/>
    <n v="553.37800000000004"/>
    <n v="-4.3780000000000427"/>
  </r>
  <r>
    <x v="8"/>
    <x v="9"/>
    <n v="0.73572338616376576"/>
    <n v="558"/>
    <n v="556.14159999999993"/>
    <n v="1.8584000000000742"/>
  </r>
  <r>
    <x v="8"/>
    <x v="10"/>
    <n v="0.425952319153724"/>
    <n v="659"/>
    <n v="659.98379999999997"/>
    <n v="-0.98379999999997381"/>
  </r>
  <r>
    <x v="8"/>
    <x v="11"/>
    <n v="0.21468687807818709"/>
    <n v="511"/>
    <n v="513.86720000000003"/>
    <n v="-2.8672000000000253"/>
  </r>
  <r>
    <x v="9"/>
    <x v="0"/>
    <n v="0.17340681788644408"/>
    <n v="669"/>
    <n v="672.51520000000005"/>
    <n v="-3.5152000000000498"/>
  </r>
  <r>
    <x v="9"/>
    <x v="1"/>
    <n v="0.47970587321485236"/>
    <n v="627"/>
    <n v="627.53599999999994"/>
    <n v="-0.53599999999994452"/>
  </r>
  <r>
    <x v="9"/>
    <x v="2"/>
    <n v="9.9190498815808437E-2"/>
    <n v="553"/>
    <n v="557.83279999999991"/>
    <n v="-4.8327999999999065"/>
  </r>
  <r>
    <x v="9"/>
    <x v="3"/>
    <n v="0.63941089402969564"/>
    <n v="666"/>
    <n v="664.11520000000007"/>
    <n v="1.8847999999999274"/>
  </r>
  <r>
    <x v="9"/>
    <x v="4"/>
    <n v="0.99258219809679582"/>
    <n v="565"/>
    <n v="557.12020000000007"/>
    <n v="7.879799999999932"/>
  </r>
  <r>
    <x v="9"/>
    <x v="5"/>
    <n v="0.73851084912703913"/>
    <n v="574"/>
    <n v="572.09879999999998"/>
    <n v="1.9012000000000171"/>
  </r>
  <r>
    <x v="9"/>
    <x v="6"/>
    <n v="0.82256387576305179"/>
    <n v="628"/>
    <n v="624.28099999999995"/>
    <n v="3.7190000000000509"/>
  </r>
  <r>
    <x v="9"/>
    <x v="7"/>
    <n v="0.76165489809423048"/>
    <n v="705"/>
    <n v="701.77519999999993"/>
    <n v="3.2248000000000729"/>
  </r>
  <r>
    <x v="9"/>
    <x v="8"/>
    <n v="0.97004953656404769"/>
    <n v="593"/>
    <n v="586.5412"/>
    <n v="6.4587999999999965"/>
  </r>
  <r>
    <x v="9"/>
    <x v="9"/>
    <n v="0.7449092337177653"/>
    <n v="592"/>
    <n v="589.3048"/>
    <n v="2.6951999999999998"/>
  </r>
  <r>
    <x v="9"/>
    <x v="10"/>
    <n v="1.2152689653683102E-2"/>
    <n v="690"/>
    <n v="699.14460000000008"/>
    <n v="-9.1446000000000822"/>
  </r>
  <r>
    <x v="9"/>
    <x v="11"/>
    <n v="0.70668827832149061"/>
    <n v="546"/>
    <n v="544.20799999999997"/>
    <n v="1.7920000000000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031022A-A309-4ACC-89FF-BE00C05BB48A}" name="PivotTable1" cacheId="0" applyNumberFormats="0" applyBorderFormats="0" applyFontFormats="0" applyPatternFormats="0" applyAlignmentFormats="0" applyWidthHeightFormats="1" dataCaption="ערכים" updatedVersion="8" minRefreshableVersion="3" useAutoFormatting="1" rowGrandTotals="0" itemPrintTitles="1" createdVersion="6" indent="0" compact="0" compactData="0" gridDropZones="1" multipleFieldFilters="0">
  <location ref="K2:M123" firstHeaderRow="2" firstDataRow="2" firstDataCol="2"/>
  <pivotFields count="6">
    <pivotField axis="axisRow" compact="0" outline="0" showAll="0" defaultSubtotal="0">
      <items count="15">
        <item m="1" x="11"/>
        <item m="1" x="13"/>
        <item m="1" x="14"/>
        <item m="1" x="12"/>
        <item m="1" x="10"/>
        <item x="0"/>
        <item x="1"/>
        <item x="2"/>
        <item x="3"/>
        <item x="4"/>
        <item x="5"/>
        <item x="6"/>
        <item x="7"/>
        <item x="8"/>
        <item x="9"/>
      </items>
    </pivotField>
    <pivotField axis="axisRow" compact="0" outline="0" showAll="0" defaultSubtotal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x="11"/>
      </items>
    </pivotField>
    <pivotField compact="0" outline="0" showAll="0"/>
    <pivotField dataField="1" compact="0" outline="0" showAll="0"/>
    <pivotField compact="0" outline="0" showAll="0"/>
    <pivotField compact="0" outline="0" showAll="0"/>
  </pivotFields>
  <rowFields count="2">
    <field x="0"/>
    <field x="1"/>
  </rowFields>
  <rowItems count="120"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10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1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</rowItems>
  <colItems count="1">
    <i/>
  </colItems>
  <dataFields count="1">
    <dataField name="סכום של Demand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30C2F9F-686E-4022-9A3F-BB66E8DBB881}" name="טבלה1" displayName="טבלה1" ref="D1:I121" totalsRowShown="0" headerRowDxfId="6">
  <tableColumns count="6">
    <tableColumn id="1" xr3:uid="{B26AFED5-42C8-4ED6-9FE1-C1B55A3973A5}" name="Year"/>
    <tableColumn id="2" xr3:uid="{42B84206-BDD1-4E4B-939E-7E10B59592C7}" name="Month"/>
    <tableColumn id="4" xr3:uid="{FCB8DFFC-4CAD-43C0-9AFE-F4613667D923}" name="Rand" dataDxfId="5">
      <calculatedColumnFormula>RAND()</calculatedColumnFormula>
    </tableColumn>
    <tableColumn id="3" xr3:uid="{A20779AE-C9C1-4CDD-9B02-C060B894EEFB}" name="Demand" dataDxfId="4">
      <calculatedColumnFormula>IF($A$1=0,"",ROUND(_xlfn.NORM.INV(טבלה1[[#This Row],[Rand]],A0+Trend*(ROW()-1),Std)*INDEX(SeasonalityTable,Seasonality,MATCH(טבלה1[[#This Row],[Month]],Months,0)),0))</calculatedColumnFormula>
    </tableColumn>
    <tableColumn id="5" xr3:uid="{58766E25-71BB-44C7-9CBA-7ED94B828AC8}" name="est" dataDxfId="3">
      <calculatedColumnFormula>(A0+(ROW()-1)*Trend)*INDEX(SeasonalityTable,Seasonality,MOD(ROW()-2,12)+1)</calculatedColumnFormula>
    </tableColumn>
    <tableColumn id="6" xr3:uid="{6BE36883-1AD6-4C63-8425-3D748FDE385C}" name="dif" dataDxfId="2">
      <calculatedColumnFormula>טבלה1[[#This Row],[Demand]]-טבלה1[[#This Row],[est]]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3EA6052-9C4B-45AE-B6DB-4BD60477AAA7}" name="טבלה2" displayName="טבלה2" ref="A1:D121" totalsRowShown="0" headerRowDxfId="1">
  <tableColumns count="4">
    <tableColumn id="1" xr3:uid="{64B62397-5F65-49C5-8DE9-EAB1D6315742}" name="t"/>
    <tableColumn id="3" xr3:uid="{1619FF93-4253-4538-8442-74C638498BC2}" name="Season" dataDxfId="0">
      <calculatedColumnFormula>טבלה2[[#This Row],[Demand]]/טבלה2[[#This Row],[S]]*(טבלה2[[#This Row],[S]]-1)</calculatedColumnFormula>
    </tableColumn>
    <tableColumn id="2" xr3:uid="{6CB7705D-2E4A-45FD-88C7-C4DF144F295D}" name="Demand">
      <calculatedColumnFormula>Admin!M4</calculatedColumnFormula>
    </tableColumn>
    <tableColumn id="4" xr3:uid="{400C698E-F0CC-41A0-8B56-F3DF51763AFF}" name="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ערכת נושא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A12E5A-B8F3-4EFF-8B12-D5655A3A9C05}">
  <dimension ref="B1:C2"/>
  <sheetViews>
    <sheetView showGridLines="0" workbookViewId="0">
      <selection activeCell="B2" sqref="B2"/>
    </sheetView>
  </sheetViews>
  <sheetFormatPr defaultRowHeight="14.25" x14ac:dyDescent="0.2"/>
  <cols>
    <col min="1" max="1" width="9.375" customWidth="1"/>
    <col min="2" max="2" width="13.125" customWidth="1"/>
  </cols>
  <sheetData>
    <row r="1" spans="2:3" ht="15" thickBot="1" x14ac:dyDescent="0.25"/>
    <row r="2" spans="2:3" ht="16.5" thickBot="1" x14ac:dyDescent="0.25">
      <c r="B2" s="4">
        <v>324809300</v>
      </c>
      <c r="C2" s="3" t="s">
        <v>23</v>
      </c>
    </row>
  </sheetData>
  <sheetProtection algorithmName="SHA-512" hashValue="q08j5DrP2zQtphsFJnUlcZZF4CucPJ66mwQU8lMFsmuz3rzvueuAYTlUpbd/VzgpnkcfJHfBM0vtjQqGQy4fmw==" saltValue="gSOayxzhUvWBK5mES5woBQ==" spinCount="100000" sheet="1" objects="1" scenarios="1" selectLockedCells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EC2F0D-AB3D-4065-8729-BAD2FAC61F63}">
  <dimension ref="A1:A121"/>
  <sheetViews>
    <sheetView workbookViewId="0">
      <selection activeCell="D5" sqref="D5"/>
    </sheetView>
  </sheetViews>
  <sheetFormatPr defaultRowHeight="14.25" x14ac:dyDescent="0.2"/>
  <cols>
    <col min="1" max="1" width="7.625" bestFit="1" customWidth="1"/>
  </cols>
  <sheetData>
    <row r="1" spans="1:1" x14ac:dyDescent="0.2">
      <c r="A1" t="s">
        <v>4</v>
      </c>
    </row>
    <row r="2" spans="1:1" x14ac:dyDescent="0.2">
      <c r="A2">
        <f>Admin!M4</f>
        <v>315</v>
      </c>
    </row>
    <row r="3" spans="1:1" x14ac:dyDescent="0.2">
      <c r="A3">
        <f>Admin!M5</f>
        <v>298</v>
      </c>
    </row>
    <row r="4" spans="1:1" x14ac:dyDescent="0.2">
      <c r="A4">
        <f>Admin!M6</f>
        <v>271</v>
      </c>
    </row>
    <row r="5" spans="1:1" x14ac:dyDescent="0.2">
      <c r="A5">
        <f>Admin!M7</f>
        <v>315</v>
      </c>
    </row>
    <row r="6" spans="1:1" x14ac:dyDescent="0.2">
      <c r="A6">
        <f>Admin!M8</f>
        <v>263</v>
      </c>
    </row>
    <row r="7" spans="1:1" x14ac:dyDescent="0.2">
      <c r="A7">
        <f>Admin!M9</f>
        <v>282</v>
      </c>
    </row>
    <row r="8" spans="1:1" x14ac:dyDescent="0.2">
      <c r="A8">
        <f>Admin!M10</f>
        <v>303</v>
      </c>
    </row>
    <row r="9" spans="1:1" x14ac:dyDescent="0.2">
      <c r="A9">
        <f>Admin!M11</f>
        <v>343</v>
      </c>
    </row>
    <row r="10" spans="1:1" x14ac:dyDescent="0.2">
      <c r="A10">
        <f>Admin!M12</f>
        <v>285</v>
      </c>
    </row>
    <row r="11" spans="1:1" x14ac:dyDescent="0.2">
      <c r="A11">
        <f>Admin!M13</f>
        <v>294</v>
      </c>
    </row>
    <row r="12" spans="1:1" x14ac:dyDescent="0.2">
      <c r="A12">
        <f>Admin!M14</f>
        <v>343</v>
      </c>
    </row>
    <row r="13" spans="1:1" x14ac:dyDescent="0.2">
      <c r="A13">
        <f>Admin!M15</f>
        <v>271</v>
      </c>
    </row>
    <row r="14" spans="1:1" x14ac:dyDescent="0.2">
      <c r="A14">
        <f>Admin!M16</f>
        <v>356</v>
      </c>
    </row>
    <row r="15" spans="1:1" x14ac:dyDescent="0.2">
      <c r="A15">
        <f>Admin!M17</f>
        <v>325</v>
      </c>
    </row>
    <row r="16" spans="1:1" x14ac:dyDescent="0.2">
      <c r="A16">
        <f>Admin!M18</f>
        <v>296</v>
      </c>
    </row>
    <row r="17" spans="1:1" x14ac:dyDescent="0.2">
      <c r="A17">
        <f>Admin!M19</f>
        <v>361</v>
      </c>
    </row>
    <row r="18" spans="1:1" x14ac:dyDescent="0.2">
      <c r="A18">
        <f>Admin!M20</f>
        <v>298</v>
      </c>
    </row>
    <row r="19" spans="1:1" x14ac:dyDescent="0.2">
      <c r="A19">
        <f>Admin!M21</f>
        <v>305</v>
      </c>
    </row>
    <row r="20" spans="1:1" x14ac:dyDescent="0.2">
      <c r="A20">
        <f>Admin!M22</f>
        <v>337</v>
      </c>
    </row>
    <row r="21" spans="1:1" x14ac:dyDescent="0.2">
      <c r="A21">
        <f>Admin!M23</f>
        <v>384</v>
      </c>
    </row>
    <row r="22" spans="1:1" x14ac:dyDescent="0.2">
      <c r="A22">
        <f>Admin!M24</f>
        <v>321</v>
      </c>
    </row>
    <row r="23" spans="1:1" x14ac:dyDescent="0.2">
      <c r="A23">
        <f>Admin!M25</f>
        <v>321</v>
      </c>
    </row>
    <row r="24" spans="1:1" x14ac:dyDescent="0.2">
      <c r="A24">
        <f>Admin!M26</f>
        <v>384</v>
      </c>
    </row>
    <row r="25" spans="1:1" x14ac:dyDescent="0.2">
      <c r="A25">
        <f>Admin!M27</f>
        <v>303</v>
      </c>
    </row>
    <row r="26" spans="1:1" x14ac:dyDescent="0.2">
      <c r="A26">
        <f>Admin!M28</f>
        <v>396</v>
      </c>
    </row>
    <row r="27" spans="1:1" x14ac:dyDescent="0.2">
      <c r="A27">
        <f>Admin!M29</f>
        <v>364</v>
      </c>
    </row>
    <row r="28" spans="1:1" x14ac:dyDescent="0.2">
      <c r="A28">
        <f>Admin!M30</f>
        <v>329</v>
      </c>
    </row>
    <row r="29" spans="1:1" x14ac:dyDescent="0.2">
      <c r="A29">
        <f>Admin!M31</f>
        <v>400</v>
      </c>
    </row>
    <row r="30" spans="1:1" x14ac:dyDescent="0.2">
      <c r="A30">
        <f>Admin!M32</f>
        <v>337</v>
      </c>
    </row>
    <row r="31" spans="1:1" x14ac:dyDescent="0.2">
      <c r="A31">
        <f>Admin!M33</f>
        <v>342</v>
      </c>
    </row>
    <row r="32" spans="1:1" x14ac:dyDescent="0.2">
      <c r="A32">
        <f>Admin!M34</f>
        <v>371</v>
      </c>
    </row>
    <row r="33" spans="1:1" x14ac:dyDescent="0.2">
      <c r="A33">
        <f>Admin!M35</f>
        <v>423</v>
      </c>
    </row>
    <row r="34" spans="1:1" x14ac:dyDescent="0.2">
      <c r="A34">
        <f>Admin!M36</f>
        <v>353</v>
      </c>
    </row>
    <row r="35" spans="1:1" x14ac:dyDescent="0.2">
      <c r="A35">
        <f>Admin!M37</f>
        <v>357</v>
      </c>
    </row>
    <row r="36" spans="1:1" x14ac:dyDescent="0.2">
      <c r="A36">
        <f>Admin!M38</f>
        <v>428</v>
      </c>
    </row>
    <row r="37" spans="1:1" x14ac:dyDescent="0.2">
      <c r="A37">
        <f>Admin!M39</f>
        <v>331</v>
      </c>
    </row>
    <row r="38" spans="1:1" x14ac:dyDescent="0.2">
      <c r="A38">
        <f>Admin!M40</f>
        <v>438</v>
      </c>
    </row>
    <row r="39" spans="1:1" x14ac:dyDescent="0.2">
      <c r="A39">
        <f>Admin!M41</f>
        <v>412</v>
      </c>
    </row>
    <row r="40" spans="1:1" x14ac:dyDescent="0.2">
      <c r="A40">
        <f>Admin!M42</f>
        <v>362</v>
      </c>
    </row>
    <row r="41" spans="1:1" x14ac:dyDescent="0.2">
      <c r="A41">
        <f>Admin!M43</f>
        <v>436</v>
      </c>
    </row>
    <row r="42" spans="1:1" x14ac:dyDescent="0.2">
      <c r="A42">
        <f>Admin!M44</f>
        <v>363</v>
      </c>
    </row>
    <row r="43" spans="1:1" x14ac:dyDescent="0.2">
      <c r="A43">
        <f>Admin!M45</f>
        <v>382</v>
      </c>
    </row>
    <row r="44" spans="1:1" x14ac:dyDescent="0.2">
      <c r="A44">
        <f>Admin!M46</f>
        <v>413</v>
      </c>
    </row>
    <row r="45" spans="1:1" x14ac:dyDescent="0.2">
      <c r="A45">
        <f>Admin!M47</f>
        <v>463</v>
      </c>
    </row>
    <row r="46" spans="1:1" x14ac:dyDescent="0.2">
      <c r="A46">
        <f>Admin!M48</f>
        <v>388</v>
      </c>
    </row>
    <row r="47" spans="1:1" x14ac:dyDescent="0.2">
      <c r="A47">
        <f>Admin!M49</f>
        <v>392</v>
      </c>
    </row>
    <row r="48" spans="1:1" x14ac:dyDescent="0.2">
      <c r="A48">
        <f>Admin!M50</f>
        <v>465</v>
      </c>
    </row>
    <row r="49" spans="1:1" x14ac:dyDescent="0.2">
      <c r="A49">
        <f>Admin!M51</f>
        <v>362</v>
      </c>
    </row>
    <row r="50" spans="1:1" x14ac:dyDescent="0.2">
      <c r="A50">
        <f>Admin!M52</f>
        <v>475</v>
      </c>
    </row>
    <row r="51" spans="1:1" x14ac:dyDescent="0.2">
      <c r="A51">
        <f>Admin!M53</f>
        <v>442</v>
      </c>
    </row>
    <row r="52" spans="1:1" x14ac:dyDescent="0.2">
      <c r="A52">
        <f>Admin!M54</f>
        <v>394</v>
      </c>
    </row>
    <row r="53" spans="1:1" x14ac:dyDescent="0.2">
      <c r="A53">
        <f>Admin!M55</f>
        <v>473</v>
      </c>
    </row>
    <row r="54" spans="1:1" x14ac:dyDescent="0.2">
      <c r="A54">
        <f>Admin!M56</f>
        <v>396</v>
      </c>
    </row>
    <row r="55" spans="1:1" x14ac:dyDescent="0.2">
      <c r="A55">
        <f>Admin!M57</f>
        <v>409</v>
      </c>
    </row>
    <row r="56" spans="1:1" x14ac:dyDescent="0.2">
      <c r="A56">
        <f>Admin!M58</f>
        <v>439</v>
      </c>
    </row>
    <row r="57" spans="1:1" x14ac:dyDescent="0.2">
      <c r="A57">
        <f>Admin!M59</f>
        <v>501</v>
      </c>
    </row>
    <row r="58" spans="1:1" x14ac:dyDescent="0.2">
      <c r="A58">
        <f>Admin!M60</f>
        <v>422</v>
      </c>
    </row>
    <row r="59" spans="1:1" x14ac:dyDescent="0.2">
      <c r="A59">
        <f>Admin!M61</f>
        <v>418</v>
      </c>
    </row>
    <row r="60" spans="1:1" x14ac:dyDescent="0.2">
      <c r="A60">
        <f>Admin!M62</f>
        <v>504</v>
      </c>
    </row>
    <row r="61" spans="1:1" x14ac:dyDescent="0.2">
      <c r="A61">
        <f>Admin!M63</f>
        <v>392</v>
      </c>
    </row>
    <row r="62" spans="1:1" x14ac:dyDescent="0.2">
      <c r="A62">
        <f>Admin!M64</f>
        <v>509</v>
      </c>
    </row>
    <row r="63" spans="1:1" x14ac:dyDescent="0.2">
      <c r="A63">
        <f>Admin!M65</f>
        <v>482</v>
      </c>
    </row>
    <row r="64" spans="1:1" x14ac:dyDescent="0.2">
      <c r="A64">
        <f>Admin!M66</f>
        <v>426</v>
      </c>
    </row>
    <row r="65" spans="1:1" x14ac:dyDescent="0.2">
      <c r="A65">
        <f>Admin!M67</f>
        <v>510</v>
      </c>
    </row>
    <row r="66" spans="1:1" x14ac:dyDescent="0.2">
      <c r="A66">
        <f>Admin!M68</f>
        <v>432</v>
      </c>
    </row>
    <row r="67" spans="1:1" x14ac:dyDescent="0.2">
      <c r="A67">
        <f>Admin!M69</f>
        <v>435</v>
      </c>
    </row>
    <row r="68" spans="1:1" x14ac:dyDescent="0.2">
      <c r="A68">
        <f>Admin!M70</f>
        <v>487</v>
      </c>
    </row>
    <row r="69" spans="1:1" x14ac:dyDescent="0.2">
      <c r="A69">
        <f>Admin!M71</f>
        <v>532</v>
      </c>
    </row>
    <row r="70" spans="1:1" x14ac:dyDescent="0.2">
      <c r="A70">
        <f>Admin!M72</f>
        <v>457</v>
      </c>
    </row>
    <row r="71" spans="1:1" x14ac:dyDescent="0.2">
      <c r="A71">
        <f>Admin!M73</f>
        <v>460</v>
      </c>
    </row>
    <row r="72" spans="1:1" x14ac:dyDescent="0.2">
      <c r="A72">
        <f>Admin!M74</f>
        <v>538</v>
      </c>
    </row>
    <row r="73" spans="1:1" x14ac:dyDescent="0.2">
      <c r="A73">
        <f>Admin!M75</f>
        <v>423</v>
      </c>
    </row>
    <row r="74" spans="1:1" x14ac:dyDescent="0.2">
      <c r="A74">
        <f>Admin!M76</f>
        <v>552</v>
      </c>
    </row>
    <row r="75" spans="1:1" x14ac:dyDescent="0.2">
      <c r="A75">
        <f>Admin!M77</f>
        <v>520</v>
      </c>
    </row>
    <row r="76" spans="1:1" x14ac:dyDescent="0.2">
      <c r="A76">
        <f>Admin!M78</f>
        <v>459</v>
      </c>
    </row>
    <row r="77" spans="1:1" x14ac:dyDescent="0.2">
      <c r="A77">
        <f>Admin!M79</f>
        <v>551</v>
      </c>
    </row>
    <row r="78" spans="1:1" x14ac:dyDescent="0.2">
      <c r="A78">
        <f>Admin!M80</f>
        <v>465</v>
      </c>
    </row>
    <row r="79" spans="1:1" x14ac:dyDescent="0.2">
      <c r="A79">
        <f>Admin!M81</f>
        <v>472</v>
      </c>
    </row>
    <row r="80" spans="1:1" x14ac:dyDescent="0.2">
      <c r="A80">
        <f>Admin!M82</f>
        <v>515</v>
      </c>
    </row>
    <row r="81" spans="1:1" x14ac:dyDescent="0.2">
      <c r="A81">
        <f>Admin!M83</f>
        <v>582</v>
      </c>
    </row>
    <row r="82" spans="1:1" x14ac:dyDescent="0.2">
      <c r="A82">
        <f>Admin!M84</f>
        <v>493</v>
      </c>
    </row>
    <row r="83" spans="1:1" x14ac:dyDescent="0.2">
      <c r="A83">
        <f>Admin!M85</f>
        <v>488</v>
      </c>
    </row>
    <row r="84" spans="1:1" x14ac:dyDescent="0.2">
      <c r="A84">
        <f>Admin!M86</f>
        <v>580</v>
      </c>
    </row>
    <row r="85" spans="1:1" x14ac:dyDescent="0.2">
      <c r="A85">
        <f>Admin!M87</f>
        <v>449</v>
      </c>
    </row>
    <row r="86" spans="1:1" x14ac:dyDescent="0.2">
      <c r="A86">
        <f>Admin!M88</f>
        <v>598</v>
      </c>
    </row>
    <row r="87" spans="1:1" x14ac:dyDescent="0.2">
      <c r="A87">
        <f>Admin!M89</f>
        <v>564</v>
      </c>
    </row>
    <row r="88" spans="1:1" x14ac:dyDescent="0.2">
      <c r="A88">
        <f>Admin!M90</f>
        <v>494</v>
      </c>
    </row>
    <row r="89" spans="1:1" x14ac:dyDescent="0.2">
      <c r="A89">
        <f>Admin!M91</f>
        <v>591</v>
      </c>
    </row>
    <row r="90" spans="1:1" x14ac:dyDescent="0.2">
      <c r="A90">
        <f>Admin!M92</f>
        <v>490</v>
      </c>
    </row>
    <row r="91" spans="1:1" x14ac:dyDescent="0.2">
      <c r="A91">
        <f>Admin!M93</f>
        <v>508</v>
      </c>
    </row>
    <row r="92" spans="1:1" x14ac:dyDescent="0.2">
      <c r="A92">
        <f>Admin!M94</f>
        <v>553</v>
      </c>
    </row>
    <row r="93" spans="1:1" x14ac:dyDescent="0.2">
      <c r="A93">
        <f>Admin!M95</f>
        <v>624</v>
      </c>
    </row>
    <row r="94" spans="1:1" x14ac:dyDescent="0.2">
      <c r="A94">
        <f>Admin!M96</f>
        <v>523</v>
      </c>
    </row>
    <row r="95" spans="1:1" x14ac:dyDescent="0.2">
      <c r="A95">
        <f>Admin!M97</f>
        <v>526</v>
      </c>
    </row>
    <row r="96" spans="1:1" x14ac:dyDescent="0.2">
      <c r="A96">
        <f>Admin!M98</f>
        <v>618</v>
      </c>
    </row>
    <row r="97" spans="1:1" x14ac:dyDescent="0.2">
      <c r="A97">
        <f>Admin!M99</f>
        <v>484</v>
      </c>
    </row>
    <row r="98" spans="1:1" x14ac:dyDescent="0.2">
      <c r="A98">
        <f>Admin!M100</f>
        <v>629</v>
      </c>
    </row>
    <row r="99" spans="1:1" x14ac:dyDescent="0.2">
      <c r="A99">
        <f>Admin!M101</f>
        <v>582</v>
      </c>
    </row>
    <row r="100" spans="1:1" x14ac:dyDescent="0.2">
      <c r="A100">
        <f>Admin!M102</f>
        <v>528</v>
      </c>
    </row>
    <row r="101" spans="1:1" x14ac:dyDescent="0.2">
      <c r="A101">
        <f>Admin!M103</f>
        <v>628</v>
      </c>
    </row>
    <row r="102" spans="1:1" x14ac:dyDescent="0.2">
      <c r="A102">
        <f>Admin!M104</f>
        <v>529</v>
      </c>
    </row>
    <row r="103" spans="1:1" x14ac:dyDescent="0.2">
      <c r="A103">
        <f>Admin!M105</f>
        <v>543</v>
      </c>
    </row>
    <row r="104" spans="1:1" x14ac:dyDescent="0.2">
      <c r="A104">
        <f>Admin!M106</f>
        <v>591</v>
      </c>
    </row>
    <row r="105" spans="1:1" x14ac:dyDescent="0.2">
      <c r="A105">
        <f>Admin!M107</f>
        <v>661</v>
      </c>
    </row>
    <row r="106" spans="1:1" x14ac:dyDescent="0.2">
      <c r="A106">
        <f>Admin!M108</f>
        <v>549</v>
      </c>
    </row>
    <row r="107" spans="1:1" x14ac:dyDescent="0.2">
      <c r="A107">
        <f>Admin!M109</f>
        <v>558</v>
      </c>
    </row>
    <row r="108" spans="1:1" x14ac:dyDescent="0.2">
      <c r="A108">
        <f>Admin!M110</f>
        <v>659</v>
      </c>
    </row>
    <row r="109" spans="1:1" x14ac:dyDescent="0.2">
      <c r="A109">
        <f>Admin!M111</f>
        <v>511</v>
      </c>
    </row>
    <row r="110" spans="1:1" x14ac:dyDescent="0.2">
      <c r="A110">
        <f>Admin!M112</f>
        <v>669</v>
      </c>
    </row>
    <row r="111" spans="1:1" x14ac:dyDescent="0.2">
      <c r="A111">
        <f>Admin!M113</f>
        <v>627</v>
      </c>
    </row>
    <row r="112" spans="1:1" x14ac:dyDescent="0.2">
      <c r="A112">
        <f>Admin!M114</f>
        <v>553</v>
      </c>
    </row>
    <row r="113" spans="1:1" x14ac:dyDescent="0.2">
      <c r="A113">
        <f>Admin!M115</f>
        <v>666</v>
      </c>
    </row>
    <row r="114" spans="1:1" x14ac:dyDescent="0.2">
      <c r="A114">
        <f>Admin!M116</f>
        <v>565</v>
      </c>
    </row>
    <row r="115" spans="1:1" x14ac:dyDescent="0.2">
      <c r="A115">
        <f>Admin!M117</f>
        <v>574</v>
      </c>
    </row>
    <row r="116" spans="1:1" x14ac:dyDescent="0.2">
      <c r="A116">
        <f>Admin!M118</f>
        <v>628</v>
      </c>
    </row>
    <row r="117" spans="1:1" x14ac:dyDescent="0.2">
      <c r="A117">
        <f>Admin!M119</f>
        <v>705</v>
      </c>
    </row>
    <row r="118" spans="1:1" x14ac:dyDescent="0.2">
      <c r="A118">
        <f>Admin!M120</f>
        <v>593</v>
      </c>
    </row>
    <row r="119" spans="1:1" x14ac:dyDescent="0.2">
      <c r="A119">
        <f>Admin!M121</f>
        <v>592</v>
      </c>
    </row>
    <row r="120" spans="1:1" x14ac:dyDescent="0.2">
      <c r="A120">
        <f>Admin!M122</f>
        <v>690</v>
      </c>
    </row>
    <row r="121" spans="1:1" x14ac:dyDescent="0.2">
      <c r="A121">
        <f>Admin!M123</f>
        <v>546</v>
      </c>
    </row>
  </sheetData>
  <sheetProtection selectLockedCells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8EF255-BDF9-4421-936D-D783669B3F22}">
  <dimension ref="A1:AC123"/>
  <sheetViews>
    <sheetView topLeftCell="A19" workbookViewId="0">
      <selection activeCell="A21" sqref="A21"/>
    </sheetView>
  </sheetViews>
  <sheetFormatPr defaultRowHeight="14.25" x14ac:dyDescent="0.2"/>
  <cols>
    <col min="1" max="2" width="9.875" bestFit="1" customWidth="1"/>
    <col min="3" max="3" width="3.125" customWidth="1"/>
    <col min="4" max="4" width="5" bestFit="1" customWidth="1"/>
    <col min="5" max="5" width="9.625" bestFit="1" customWidth="1"/>
    <col min="6" max="6" width="7.375" bestFit="1" customWidth="1"/>
    <col min="7" max="8" width="6.875" customWidth="1"/>
    <col min="9" max="9" width="8.625" customWidth="1"/>
    <col min="10" max="10" width="3" customWidth="1"/>
    <col min="11" max="11" width="7.375" customWidth="1"/>
    <col min="12" max="12" width="9.625" bestFit="1" customWidth="1"/>
    <col min="13" max="13" width="4.875" bestFit="1" customWidth="1"/>
    <col min="14" max="14" width="4.25" customWidth="1"/>
    <col min="15" max="15" width="4.875" bestFit="1" customWidth="1"/>
    <col min="16" max="27" width="7.375" customWidth="1"/>
    <col min="28" max="28" width="8" customWidth="1"/>
  </cols>
  <sheetData>
    <row r="1" spans="1:29" x14ac:dyDescent="0.2">
      <c r="A1">
        <f>ID</f>
        <v>324809300</v>
      </c>
      <c r="B1">
        <f>ID+MOD(ID*1,10000)*2</f>
        <v>324827900</v>
      </c>
      <c r="D1" s="5" t="s">
        <v>2</v>
      </c>
      <c r="E1" s="5" t="s">
        <v>3</v>
      </c>
      <c r="F1" s="5" t="s">
        <v>19</v>
      </c>
      <c r="G1" s="5" t="s">
        <v>4</v>
      </c>
      <c r="H1" s="5" t="s">
        <v>31</v>
      </c>
      <c r="I1" s="5" t="s">
        <v>32</v>
      </c>
    </row>
    <row r="2" spans="1:29" x14ac:dyDescent="0.2">
      <c r="D2">
        <v>2013</v>
      </c>
      <c r="E2" t="s">
        <v>13</v>
      </c>
      <c r="F2" s="8">
        <f t="shared" ref="F2:F65" ca="1" si="0">RAND()</f>
        <v>0.96148911876524457</v>
      </c>
      <c r="G2">
        <f ca="1">IF($A$1=0,"",ROUND(_xlfn.NORM.INV(טבלה1[[#This Row],[Rand]],A0+Trend*(ROW()-1),Std)*INDEX(SeasonalityTable,Seasonality,MATCH(טבלה1[[#This Row],[Month]],Months,0)),0))</f>
        <v>324</v>
      </c>
      <c r="H2">
        <f t="shared" ref="H2:H33" si="1">(A0+(ROW()-1)*Trend)*INDEX(SeasonalityTable,Seasonality,MOD(ROW()-2,12)+1)</f>
        <v>316.89280000000002</v>
      </c>
      <c r="I2">
        <f ca="1">טבלה1[[#This Row],[Demand]]-טבלה1[[#This Row],[est]]</f>
        <v>7.1071999999999775</v>
      </c>
      <c r="K2" s="1" t="s">
        <v>17</v>
      </c>
      <c r="P2" t="s">
        <v>13</v>
      </c>
      <c r="Q2" t="s">
        <v>14</v>
      </c>
      <c r="R2" t="s">
        <v>15</v>
      </c>
      <c r="S2" t="s">
        <v>16</v>
      </c>
      <c r="T2" t="s">
        <v>5</v>
      </c>
      <c r="U2" t="s">
        <v>6</v>
      </c>
      <c r="V2" t="s">
        <v>7</v>
      </c>
      <c r="W2" t="s">
        <v>8</v>
      </c>
      <c r="X2" t="s">
        <v>9</v>
      </c>
      <c r="Y2" t="s">
        <v>10</v>
      </c>
      <c r="Z2" t="s">
        <v>11</v>
      </c>
      <c r="AA2" t="s">
        <v>12</v>
      </c>
      <c r="AB2" t="s">
        <v>20</v>
      </c>
      <c r="AC2" t="s">
        <v>18</v>
      </c>
    </row>
    <row r="3" spans="1:29" x14ac:dyDescent="0.2">
      <c r="A3" t="s">
        <v>0</v>
      </c>
      <c r="B3">
        <f>MOD(RefNum,17)*23+IF(ISODD(ID),573,73)</f>
        <v>280</v>
      </c>
      <c r="D3">
        <v>2013</v>
      </c>
      <c r="E3" t="s">
        <v>14</v>
      </c>
      <c r="F3" s="8">
        <f t="shared" ca="1" si="0"/>
        <v>1.2634695403733742E-3</v>
      </c>
      <c r="G3">
        <f ca="1">IF($A$1=0,"",ROUND(_xlfn.NORM.INV(טבלה1[[#This Row],[Rand]],A0+Trend*(ROW()-1),Std)*INDEX(SeasonalityTable,Seasonality,MATCH(טבלה1[[#This Row],[Month]],Months,0)),0))</f>
        <v>286</v>
      </c>
      <c r="H3">
        <f t="shared" si="1"/>
        <v>297.3152</v>
      </c>
      <c r="I3">
        <f ca="1">טבלה1[[#This Row],[Demand]]-טבלה1[[#This Row],[est]]</f>
        <v>-11.315200000000004</v>
      </c>
      <c r="K3" s="1" t="s">
        <v>2</v>
      </c>
      <c r="L3" s="1" t="s">
        <v>3</v>
      </c>
      <c r="M3" t="s">
        <v>22</v>
      </c>
      <c r="O3">
        <v>1</v>
      </c>
      <c r="P3">
        <v>1.1299999999999999</v>
      </c>
      <c r="Q3">
        <v>0.86</v>
      </c>
      <c r="R3">
        <v>1.1499999999999999</v>
      </c>
      <c r="S3">
        <v>0.86</v>
      </c>
      <c r="T3">
        <v>1.1000000000000001</v>
      </c>
      <c r="U3">
        <v>0.9</v>
      </c>
      <c r="V3">
        <v>1.02</v>
      </c>
      <c r="W3">
        <v>1.1499999999999999</v>
      </c>
      <c r="X3">
        <v>0.85</v>
      </c>
      <c r="Y3">
        <v>1.05</v>
      </c>
      <c r="Z3">
        <v>0.89</v>
      </c>
      <c r="AA3">
        <v>1.04</v>
      </c>
      <c r="AB3">
        <f>AVERAGE(P3:AA3)</f>
        <v>1</v>
      </c>
      <c r="AC3">
        <f>_xlfn.STDEV.P(P3:AA3)</f>
        <v>0.11554220008291288</v>
      </c>
    </row>
    <row r="4" spans="1:29" x14ac:dyDescent="0.2">
      <c r="A4" t="s">
        <v>1</v>
      </c>
      <c r="B4">
        <f>IF(ISODD(ID),-ROUND((0.0015+MOD(RefNum,7)*0.0005)*A0,2),ROUND((0.003+MOD(RefNum,7)*0.0015)*A0,2))</f>
        <v>2.94</v>
      </c>
      <c r="D4">
        <v>2013</v>
      </c>
      <c r="E4" t="s">
        <v>15</v>
      </c>
      <c r="F4" s="8">
        <f t="shared" ca="1" si="0"/>
        <v>0.70235116501961181</v>
      </c>
      <c r="G4">
        <f ca="1">IF($A$1=0,"",ROUND(_xlfn.NORM.INV(טבלה1[[#This Row],[Rand]],A0+Trend*(ROW()-1),Std)*INDEX(SeasonalityTable,Seasonality,MATCH(טבלה1[[#This Row],[Month]],Months,0)),0))</f>
        <v>268</v>
      </c>
      <c r="H4">
        <f t="shared" si="1"/>
        <v>265.71440000000001</v>
      </c>
      <c r="I4">
        <f ca="1">טבלה1[[#This Row],[Demand]]-טבלה1[[#This Row],[est]]</f>
        <v>2.2855999999999881</v>
      </c>
      <c r="K4">
        <v>2013</v>
      </c>
      <c r="L4" t="s">
        <v>13</v>
      </c>
      <c r="M4">
        <v>315</v>
      </c>
      <c r="O4">
        <v>2</v>
      </c>
      <c r="P4">
        <v>1.1200000000000001</v>
      </c>
      <c r="Q4">
        <v>1.04</v>
      </c>
      <c r="R4">
        <v>0.92</v>
      </c>
      <c r="S4">
        <v>1.0900000000000001</v>
      </c>
      <c r="T4">
        <v>0.91</v>
      </c>
      <c r="U4">
        <v>0.92999999999999994</v>
      </c>
      <c r="V4">
        <v>1.01</v>
      </c>
      <c r="W4">
        <v>1.1299999999999999</v>
      </c>
      <c r="X4">
        <v>0.94</v>
      </c>
      <c r="Y4">
        <v>0.94</v>
      </c>
      <c r="Z4">
        <v>1.1100000000000001</v>
      </c>
      <c r="AA4">
        <v>0.86</v>
      </c>
      <c r="AB4">
        <f t="shared" ref="AB4:AB13" si="2">AVERAGE(P4:AA4)</f>
        <v>0.99999999999999967</v>
      </c>
      <c r="AC4">
        <f t="shared" ref="AC4:AC13" si="3">_xlfn.STDEV.P(P4:AA4)</f>
        <v>9.1012819609840326E-2</v>
      </c>
    </row>
    <row r="5" spans="1:29" x14ac:dyDescent="0.2">
      <c r="A5" t="s">
        <v>21</v>
      </c>
      <c r="B5">
        <f>MOD(RefNum,11)+1</f>
        <v>2</v>
      </c>
      <c r="D5">
        <v>2013</v>
      </c>
      <c r="E5" t="s">
        <v>16</v>
      </c>
      <c r="F5" s="8">
        <f t="shared" ca="1" si="0"/>
        <v>0.2976816828190525</v>
      </c>
      <c r="G5">
        <f ca="1">IF($A$1=0,"",ROUND(_xlfn.NORM.INV(טבלה1[[#This Row],[Rand]],A0+Trend*(ROW()-1),Std)*INDEX(SeasonalityTable,Seasonality,MATCH(טבלה1[[#This Row],[Month]],Months,0)),0))</f>
        <v>316</v>
      </c>
      <c r="H5">
        <f t="shared" si="1"/>
        <v>318.01839999999999</v>
      </c>
      <c r="I5">
        <f ca="1">טבלה1[[#This Row],[Demand]]-טבלה1[[#This Row],[est]]</f>
        <v>-2.0183999999999855</v>
      </c>
      <c r="L5" t="s">
        <v>14</v>
      </c>
      <c r="M5">
        <v>298</v>
      </c>
      <c r="O5">
        <v>3</v>
      </c>
      <c r="P5">
        <v>1.1200000000000001</v>
      </c>
      <c r="Q5">
        <v>0.96</v>
      </c>
      <c r="R5">
        <v>0.92</v>
      </c>
      <c r="S5">
        <v>0.87</v>
      </c>
      <c r="T5">
        <v>0.88</v>
      </c>
      <c r="U5">
        <v>1.0900000000000001</v>
      </c>
      <c r="V5">
        <v>1.06</v>
      </c>
      <c r="W5">
        <v>1.03</v>
      </c>
      <c r="X5">
        <v>0.99</v>
      </c>
      <c r="Y5">
        <v>0.98</v>
      </c>
      <c r="Z5">
        <v>0.98</v>
      </c>
      <c r="AA5">
        <v>1.1200000000000001</v>
      </c>
      <c r="AB5">
        <f t="shared" si="2"/>
        <v>1</v>
      </c>
      <c r="AC5">
        <f t="shared" si="3"/>
        <v>8.2462112512353247E-2</v>
      </c>
    </row>
    <row r="6" spans="1:29" x14ac:dyDescent="0.2">
      <c r="A6" t="s">
        <v>18</v>
      </c>
      <c r="B6" s="2">
        <f>IF(ISODD(ID),ABS(Trend/1.1),ABS(Trend/0.8))</f>
        <v>3.6749999999999998</v>
      </c>
      <c r="D6">
        <v>2013</v>
      </c>
      <c r="E6" t="s">
        <v>5</v>
      </c>
      <c r="F6" s="8">
        <f t="shared" ca="1" si="0"/>
        <v>0.19491183868774897</v>
      </c>
      <c r="G6">
        <f ca="1">IF($A$1=0,"",ROUND(_xlfn.NORM.INV(טבלה1[[#This Row],[Rand]],A0+Trend*(ROW()-1),Std)*INDEX(SeasonalityTable,Seasonality,MATCH(טבלה1[[#This Row],[Month]],Months,0)),0))</f>
        <v>265</v>
      </c>
      <c r="H6">
        <f t="shared" si="1"/>
        <v>268.17700000000002</v>
      </c>
      <c r="I6">
        <f ca="1">טבלה1[[#This Row],[Demand]]-טבלה1[[#This Row],[est]]</f>
        <v>-3.1770000000000209</v>
      </c>
      <c r="L6" t="s">
        <v>15</v>
      </c>
      <c r="M6">
        <v>271</v>
      </c>
      <c r="O6">
        <v>4</v>
      </c>
      <c r="P6">
        <v>0.96</v>
      </c>
      <c r="Q6">
        <v>1.1299999999999999</v>
      </c>
      <c r="R6">
        <v>1.04</v>
      </c>
      <c r="S6">
        <v>1.1400000000000001</v>
      </c>
      <c r="T6">
        <v>0.92999999999999994</v>
      </c>
      <c r="U6">
        <v>0.92</v>
      </c>
      <c r="V6">
        <v>1.08</v>
      </c>
      <c r="W6">
        <v>0.85</v>
      </c>
      <c r="X6">
        <v>0.88</v>
      </c>
      <c r="Y6">
        <v>1.1100000000000001</v>
      </c>
      <c r="Z6">
        <v>1.08</v>
      </c>
      <c r="AA6">
        <v>0.88</v>
      </c>
      <c r="AB6">
        <f t="shared" si="2"/>
        <v>1</v>
      </c>
      <c r="AC6">
        <f t="shared" si="3"/>
        <v>0.10295630140986985</v>
      </c>
    </row>
    <row r="7" spans="1:29" x14ac:dyDescent="0.2">
      <c r="D7">
        <v>2013</v>
      </c>
      <c r="E7" t="s">
        <v>6</v>
      </c>
      <c r="F7" s="8">
        <f t="shared" ca="1" si="0"/>
        <v>1.0058778476023211E-2</v>
      </c>
      <c r="G7">
        <f ca="1">IF($A$1=0,"",ROUND(_xlfn.NORM.INV(טבלה1[[#This Row],[Rand]],A0+Trend*(ROW()-1),Std)*INDEX(SeasonalityTable,Seasonality,MATCH(טבלה1[[#This Row],[Month]],Months,0)),0))</f>
        <v>269</v>
      </c>
      <c r="H7">
        <f t="shared" si="1"/>
        <v>276.80519999999996</v>
      </c>
      <c r="I7">
        <f ca="1">טבלה1[[#This Row],[Demand]]-טבלה1[[#This Row],[est]]</f>
        <v>-7.8051999999999566</v>
      </c>
      <c r="L7" t="s">
        <v>16</v>
      </c>
      <c r="M7">
        <v>315</v>
      </c>
      <c r="O7">
        <v>5</v>
      </c>
      <c r="P7">
        <v>1.07</v>
      </c>
      <c r="Q7">
        <v>1.04</v>
      </c>
      <c r="R7">
        <v>0.95</v>
      </c>
      <c r="S7">
        <v>1.02</v>
      </c>
      <c r="T7">
        <v>0.9</v>
      </c>
      <c r="U7">
        <v>1.0900000000000001</v>
      </c>
      <c r="V7">
        <v>1.1000000000000001</v>
      </c>
      <c r="W7">
        <v>0.92999999999999994</v>
      </c>
      <c r="X7">
        <v>1.1200000000000001</v>
      </c>
      <c r="Y7">
        <v>0.93</v>
      </c>
      <c r="Z7">
        <v>0.88</v>
      </c>
      <c r="AA7">
        <v>0.97</v>
      </c>
      <c r="AB7">
        <f t="shared" si="2"/>
        <v>1</v>
      </c>
      <c r="AC7">
        <f t="shared" si="3"/>
        <v>8.0104098937986146E-2</v>
      </c>
    </row>
    <row r="8" spans="1:29" x14ac:dyDescent="0.2">
      <c r="A8" t="s">
        <v>20</v>
      </c>
      <c r="B8">
        <f>A0+60.5*Trend</f>
        <v>457.87</v>
      </c>
      <c r="D8">
        <v>2013</v>
      </c>
      <c r="E8" t="s">
        <v>7</v>
      </c>
      <c r="F8" s="8">
        <f t="shared" ca="1" si="0"/>
        <v>0.34320187302189731</v>
      </c>
      <c r="G8">
        <f ca="1">IF($A$1=0,"",ROUND(_xlfn.NORM.INV(טבלה1[[#This Row],[Rand]],A0+Trend*(ROW()-1),Std)*INDEX(SeasonalityTable,Seasonality,MATCH(טבלה1[[#This Row],[Month]],Months,0)),0))</f>
        <v>302</v>
      </c>
      <c r="H8">
        <f t="shared" si="1"/>
        <v>303.58580000000001</v>
      </c>
      <c r="I8">
        <f ca="1">טבלה1[[#This Row],[Demand]]-טבלה1[[#This Row],[est]]</f>
        <v>-1.5858000000000061</v>
      </c>
      <c r="L8" t="s">
        <v>5</v>
      </c>
      <c r="M8">
        <v>263</v>
      </c>
      <c r="O8">
        <v>6</v>
      </c>
      <c r="P8">
        <v>0.88</v>
      </c>
      <c r="Q8">
        <v>0.99</v>
      </c>
      <c r="R8">
        <v>1.1200000000000001</v>
      </c>
      <c r="S8">
        <v>1.03</v>
      </c>
      <c r="T8">
        <v>0.91</v>
      </c>
      <c r="U8">
        <v>1.05</v>
      </c>
      <c r="V8">
        <v>0.92999999999999994</v>
      </c>
      <c r="W8">
        <v>1.1100000000000001</v>
      </c>
      <c r="X8">
        <v>0.95</v>
      </c>
      <c r="Y8">
        <v>1.08</v>
      </c>
      <c r="Z8">
        <v>0.91</v>
      </c>
      <c r="AA8">
        <v>1.04</v>
      </c>
      <c r="AB8">
        <f t="shared" si="2"/>
        <v>1</v>
      </c>
      <c r="AC8">
        <f t="shared" si="3"/>
        <v>7.958224257542218E-2</v>
      </c>
    </row>
    <row r="9" spans="1:29" x14ac:dyDescent="0.2">
      <c r="B9" s="2"/>
      <c r="D9">
        <v>2013</v>
      </c>
      <c r="E9" t="s">
        <v>8</v>
      </c>
      <c r="F9" s="8">
        <f t="shared" ca="1" si="0"/>
        <v>0.49135695168317572</v>
      </c>
      <c r="G9">
        <f ca="1">IF($A$1=0,"",ROUND(_xlfn.NORM.INV(טבלה1[[#This Row],[Rand]],A0+Trend*(ROW()-1),Std)*INDEX(SeasonalityTable,Seasonality,MATCH(טבלה1[[#This Row],[Month]],Months,0)),0))</f>
        <v>343</v>
      </c>
      <c r="H9">
        <f t="shared" si="1"/>
        <v>342.97759999999994</v>
      </c>
      <c r="I9">
        <f ca="1">טבלה1[[#This Row],[Demand]]-טבלה1[[#This Row],[est]]</f>
        <v>2.2400000000061482E-2</v>
      </c>
      <c r="L9" t="s">
        <v>6</v>
      </c>
      <c r="M9">
        <v>282</v>
      </c>
      <c r="O9">
        <v>7</v>
      </c>
      <c r="P9">
        <v>1.05</v>
      </c>
      <c r="Q9">
        <v>1.1000000000000001</v>
      </c>
      <c r="R9">
        <v>0.93</v>
      </c>
      <c r="S9">
        <v>0.96</v>
      </c>
      <c r="T9">
        <v>1</v>
      </c>
      <c r="U9">
        <v>1.1400000000000001</v>
      </c>
      <c r="V9">
        <v>1.03</v>
      </c>
      <c r="W9">
        <v>1.1000000000000001</v>
      </c>
      <c r="X9">
        <v>0.86</v>
      </c>
      <c r="Y9">
        <v>0.94</v>
      </c>
      <c r="Z9">
        <v>0.89</v>
      </c>
      <c r="AA9">
        <v>1</v>
      </c>
      <c r="AB9">
        <f t="shared" si="2"/>
        <v>1.0000000000000002</v>
      </c>
      <c r="AC9">
        <f t="shared" si="3"/>
        <v>8.4063468086123305E-2</v>
      </c>
    </row>
    <row r="10" spans="1:29" x14ac:dyDescent="0.2">
      <c r="B10">
        <f>10*Std</f>
        <v>36.75</v>
      </c>
      <c r="D10">
        <v>2013</v>
      </c>
      <c r="E10" t="s">
        <v>9</v>
      </c>
      <c r="F10" s="8">
        <f t="shared" ca="1" si="0"/>
        <v>0.12673373538698818</v>
      </c>
      <c r="G10">
        <f ca="1">IF($A$1=0,"",ROUND(_xlfn.NORM.INV(טבלה1[[#This Row],[Rand]],A0+Trend*(ROW()-1),Std)*INDEX(SeasonalityTable,Seasonality,MATCH(טבלה1[[#This Row],[Month]],Months,0)),0))</f>
        <v>284</v>
      </c>
      <c r="H10">
        <f t="shared" si="1"/>
        <v>288.07239999999996</v>
      </c>
      <c r="I10">
        <f ca="1">טבלה1[[#This Row],[Demand]]-טבלה1[[#This Row],[est]]</f>
        <v>-4.0723999999999592</v>
      </c>
      <c r="L10" t="s">
        <v>7</v>
      </c>
      <c r="M10">
        <v>303</v>
      </c>
      <c r="O10">
        <v>8</v>
      </c>
      <c r="P10">
        <v>1.03</v>
      </c>
      <c r="Q10">
        <v>0.87</v>
      </c>
      <c r="R10">
        <v>0.96</v>
      </c>
      <c r="S10">
        <v>1.0900000000000001</v>
      </c>
      <c r="T10">
        <v>1.08</v>
      </c>
      <c r="U10">
        <v>0.92999999999999994</v>
      </c>
      <c r="V10">
        <v>0.88</v>
      </c>
      <c r="W10">
        <v>1</v>
      </c>
      <c r="X10">
        <v>0.86</v>
      </c>
      <c r="Y10">
        <v>1.1000000000000001</v>
      </c>
      <c r="Z10">
        <v>1.05</v>
      </c>
      <c r="AA10">
        <v>1.1499999999999999</v>
      </c>
      <c r="AB10">
        <f t="shared" si="2"/>
        <v>1</v>
      </c>
      <c r="AC10">
        <f t="shared" si="3"/>
        <v>9.4780448054086225E-2</v>
      </c>
    </row>
    <row r="11" spans="1:29" x14ac:dyDescent="0.2">
      <c r="D11">
        <v>2013</v>
      </c>
      <c r="E11" t="s">
        <v>10</v>
      </c>
      <c r="F11" s="8">
        <f t="shared" ca="1" si="0"/>
        <v>0.5678337289461578</v>
      </c>
      <c r="G11">
        <f ca="1">IF($A$1=0,"",ROUND(_xlfn.NORM.INV(טבלה1[[#This Row],[Rand]],A0+Trend*(ROW()-1),Std)*INDEX(SeasonalityTable,Seasonality,MATCH(טבלה1[[#This Row],[Month]],Months,0)),0))</f>
        <v>291</v>
      </c>
      <c r="H11">
        <f t="shared" si="1"/>
        <v>290.83599999999996</v>
      </c>
      <c r="I11">
        <f ca="1">טבלה1[[#This Row],[Demand]]-טבלה1[[#This Row],[est]]</f>
        <v>0.16400000000004411</v>
      </c>
      <c r="L11" t="s">
        <v>8</v>
      </c>
      <c r="M11">
        <v>343</v>
      </c>
      <c r="O11">
        <v>9</v>
      </c>
      <c r="P11">
        <v>0.87</v>
      </c>
      <c r="Q11">
        <v>0.97</v>
      </c>
      <c r="R11">
        <v>1.06</v>
      </c>
      <c r="S11">
        <v>0.9</v>
      </c>
      <c r="T11">
        <v>1.0900000000000001</v>
      </c>
      <c r="U11">
        <v>1.02</v>
      </c>
      <c r="V11">
        <v>0.9</v>
      </c>
      <c r="W11">
        <v>1.04</v>
      </c>
      <c r="X11">
        <v>1.1299999999999999</v>
      </c>
      <c r="Y11">
        <v>0.85</v>
      </c>
      <c r="Z11">
        <v>1.06</v>
      </c>
      <c r="AA11">
        <v>1.1100000000000001</v>
      </c>
      <c r="AB11">
        <f t="shared" si="2"/>
        <v>1</v>
      </c>
      <c r="AC11">
        <f t="shared" si="3"/>
        <v>9.4251436770657962E-2</v>
      </c>
    </row>
    <row r="12" spans="1:29" x14ac:dyDescent="0.2">
      <c r="D12">
        <v>2013</v>
      </c>
      <c r="E12" t="s">
        <v>11</v>
      </c>
      <c r="F12" s="8">
        <f t="shared" ca="1" si="0"/>
        <v>0.3896100881039275</v>
      </c>
      <c r="G12">
        <f ca="1">IF($A$1=0,"",ROUND(_xlfn.NORM.INV(טבלה1[[#This Row],[Rand]],A0+Trend*(ROW()-1),Std)*INDEX(SeasonalityTable,Seasonality,MATCH(טבלה1[[#This Row],[Month]],Months,0)),0))</f>
        <v>346</v>
      </c>
      <c r="H12">
        <f t="shared" si="1"/>
        <v>346.69740000000002</v>
      </c>
      <c r="I12">
        <f ca="1">טבלה1[[#This Row],[Demand]]-טבלה1[[#This Row],[est]]</f>
        <v>-0.69740000000001601</v>
      </c>
      <c r="L12" t="s">
        <v>9</v>
      </c>
      <c r="M12">
        <v>285</v>
      </c>
      <c r="O12">
        <v>10</v>
      </c>
      <c r="P12">
        <v>1.05</v>
      </c>
      <c r="Q12">
        <v>0.87</v>
      </c>
      <c r="R12">
        <v>0.94</v>
      </c>
      <c r="S12">
        <v>1.1299999999999999</v>
      </c>
      <c r="T12">
        <v>0.91</v>
      </c>
      <c r="U12">
        <v>1.08</v>
      </c>
      <c r="V12">
        <v>1.1100000000000001</v>
      </c>
      <c r="W12">
        <v>0.87</v>
      </c>
      <c r="X12">
        <v>1.1400000000000001</v>
      </c>
      <c r="Y12">
        <v>1.04</v>
      </c>
      <c r="Z12">
        <v>0.98</v>
      </c>
      <c r="AA12">
        <v>0.88</v>
      </c>
      <c r="AB12">
        <f t="shared" si="2"/>
        <v>1.0000000000000002</v>
      </c>
      <c r="AC12">
        <f t="shared" si="3"/>
        <v>9.9749686716300051E-2</v>
      </c>
    </row>
    <row r="13" spans="1:29" x14ac:dyDescent="0.2">
      <c r="D13">
        <v>2013</v>
      </c>
      <c r="E13" t="s">
        <v>12</v>
      </c>
      <c r="F13" s="8">
        <f t="shared" ca="1" si="0"/>
        <v>0.11158534328966518</v>
      </c>
      <c r="G13">
        <f ca="1">IF($A$1=0,"",ROUND(_xlfn.NORM.INV(טבלה1[[#This Row],[Rand]],A0+Trend*(ROW()-1),Std)*INDEX(SeasonalityTable,Seasonality,MATCH(טבלה1[[#This Row],[Month]],Months,0)),0))</f>
        <v>267</v>
      </c>
      <c r="H13">
        <f t="shared" si="1"/>
        <v>271.14079999999996</v>
      </c>
      <c r="I13">
        <f ca="1">טבלה1[[#This Row],[Demand]]-טבלה1[[#This Row],[est]]</f>
        <v>-4.1407999999999561</v>
      </c>
      <c r="L13" t="s">
        <v>10</v>
      </c>
      <c r="M13">
        <v>294</v>
      </c>
      <c r="O13">
        <v>11</v>
      </c>
      <c r="P13">
        <v>1.05</v>
      </c>
      <c r="Q13">
        <v>0.9</v>
      </c>
      <c r="R13">
        <v>0.98</v>
      </c>
      <c r="S13">
        <v>1.04</v>
      </c>
      <c r="T13">
        <v>1</v>
      </c>
      <c r="U13">
        <v>0.87</v>
      </c>
      <c r="V13">
        <v>1.07</v>
      </c>
      <c r="W13">
        <v>1.1399999999999999</v>
      </c>
      <c r="X13">
        <v>0.89</v>
      </c>
      <c r="Y13">
        <v>1.06</v>
      </c>
      <c r="Z13">
        <v>0.97</v>
      </c>
      <c r="AA13">
        <v>1.03</v>
      </c>
      <c r="AB13">
        <f t="shared" si="2"/>
        <v>1.0000000000000002</v>
      </c>
      <c r="AC13">
        <f t="shared" si="3"/>
        <v>7.8209121377667098E-2</v>
      </c>
    </row>
    <row r="14" spans="1:29" x14ac:dyDescent="0.2">
      <c r="A14" t="s">
        <v>27</v>
      </c>
      <c r="B14" s="7">
        <f>(121*241/6-60.5^2)</f>
        <v>1199.916666666667</v>
      </c>
      <c r="D14">
        <f>D2+1</f>
        <v>2014</v>
      </c>
      <c r="E14" t="s">
        <v>13</v>
      </c>
      <c r="F14" s="8">
        <f t="shared" ca="1" si="0"/>
        <v>0.49290079443021362</v>
      </c>
      <c r="G14">
        <f ca="1">IF($A$1=0,"",ROUND(_xlfn.NORM.INV(טבלה1[[#This Row],[Rand]],A0+Trend*(ROW()-1),Std)*INDEX(SeasonalityTable,Seasonality,MATCH(טבלה1[[#This Row],[Month]],Months,0)),0))</f>
        <v>356</v>
      </c>
      <c r="H14">
        <f t="shared" si="1"/>
        <v>356.40640000000008</v>
      </c>
      <c r="I14">
        <f ca="1">טבלה1[[#This Row],[Demand]]-טבלה1[[#This Row],[est]]</f>
        <v>-0.40640000000007603</v>
      </c>
      <c r="L14" t="s">
        <v>11</v>
      </c>
      <c r="M14">
        <v>343</v>
      </c>
    </row>
    <row r="15" spans="1:29" x14ac:dyDescent="0.2">
      <c r="A15" t="s">
        <v>28</v>
      </c>
      <c r="B15" s="7">
        <f>(INDEX($AC$3:$AC$13,Seasonality))^2*avg^2</f>
        <v>1736.5588939883337</v>
      </c>
      <c r="D15">
        <f t="shared" ref="D15:D78" si="4">D3+1</f>
        <v>2014</v>
      </c>
      <c r="E15" t="s">
        <v>14</v>
      </c>
      <c r="F15" s="8">
        <f t="shared" ca="1" si="0"/>
        <v>0.15175421256600885</v>
      </c>
      <c r="G15">
        <f ca="1">IF($A$1=0,"",ROUND(_xlfn.NORM.INV(טבלה1[[#This Row],[Rand]],A0+Trend*(ROW()-1),Std)*INDEX(SeasonalityTable,Seasonality,MATCH(טבלה1[[#This Row],[Month]],Months,0)),0))</f>
        <v>330</v>
      </c>
      <c r="H15">
        <f t="shared" si="1"/>
        <v>334.00639999999999</v>
      </c>
      <c r="I15">
        <f ca="1">טבלה1[[#This Row],[Demand]]-טבלה1[[#This Row],[est]]</f>
        <v>-4.0063999999999851</v>
      </c>
      <c r="L15" t="s">
        <v>12</v>
      </c>
      <c r="M15">
        <v>271</v>
      </c>
    </row>
    <row r="16" spans="1:29" x14ac:dyDescent="0.2">
      <c r="A16" t="s">
        <v>29</v>
      </c>
      <c r="B16" s="7">
        <f>SUM(B14:B15)</f>
        <v>2936.4755606550007</v>
      </c>
      <c r="D16">
        <f t="shared" si="4"/>
        <v>2014</v>
      </c>
      <c r="E16" t="s">
        <v>15</v>
      </c>
      <c r="F16" s="8">
        <f t="shared" ca="1" si="0"/>
        <v>0.27111172449795373</v>
      </c>
      <c r="G16">
        <f ca="1">IF($A$1=0,"",ROUND(_xlfn.NORM.INV(טבלה1[[#This Row],[Rand]],A0+Trend*(ROW()-1),Std)*INDEX(SeasonalityTable,Seasonality,MATCH(טבלה1[[#This Row],[Month]],Months,0)),0))</f>
        <v>296</v>
      </c>
      <c r="H16">
        <f t="shared" si="1"/>
        <v>298.17200000000003</v>
      </c>
      <c r="I16">
        <f ca="1">טבלה1[[#This Row],[Demand]]-טבלה1[[#This Row],[est]]</f>
        <v>-2.1720000000000255</v>
      </c>
      <c r="K16">
        <v>2014</v>
      </c>
      <c r="L16" t="s">
        <v>13</v>
      </c>
      <c r="M16">
        <v>356</v>
      </c>
    </row>
    <row r="17" spans="1:28" x14ac:dyDescent="0.2">
      <c r="A17" t="s">
        <v>30</v>
      </c>
      <c r="B17">
        <f>B14/B16</f>
        <v>0.40862477547710885</v>
      </c>
      <c r="D17">
        <f t="shared" si="4"/>
        <v>2014</v>
      </c>
      <c r="E17" t="s">
        <v>16</v>
      </c>
      <c r="F17" s="8">
        <f t="shared" ca="1" si="0"/>
        <v>0.40243949687924796</v>
      </c>
      <c r="G17">
        <f ca="1">IF($A$1=0,"",ROUND(_xlfn.NORM.INV(טבלה1[[#This Row],[Rand]],A0+Trend*(ROW()-1),Std)*INDEX(SeasonalityTable,Seasonality,MATCH(טבלה1[[#This Row],[Month]],Months,0)),0))</f>
        <v>355</v>
      </c>
      <c r="H17">
        <f t="shared" si="1"/>
        <v>356.47360000000003</v>
      </c>
      <c r="I17">
        <f ca="1">טבלה1[[#This Row],[Demand]]-טבלה1[[#This Row],[est]]</f>
        <v>-1.4736000000000331</v>
      </c>
      <c r="L17" t="s">
        <v>14</v>
      </c>
      <c r="M17">
        <v>325</v>
      </c>
      <c r="P17" t="s">
        <v>13</v>
      </c>
      <c r="Q17" t="s">
        <v>14</v>
      </c>
      <c r="R17" t="s">
        <v>15</v>
      </c>
      <c r="S17" t="s">
        <v>16</v>
      </c>
      <c r="T17" t="s">
        <v>5</v>
      </c>
      <c r="U17" t="s">
        <v>6</v>
      </c>
      <c r="V17" t="s">
        <v>7</v>
      </c>
      <c r="W17" t="s">
        <v>8</v>
      </c>
      <c r="X17" t="s">
        <v>9</v>
      </c>
      <c r="Y17" t="s">
        <v>10</v>
      </c>
      <c r="Z17" t="s">
        <v>11</v>
      </c>
      <c r="AA17" t="s">
        <v>12</v>
      </c>
    </row>
    <row r="18" spans="1:28" x14ac:dyDescent="0.2">
      <c r="D18">
        <f t="shared" si="4"/>
        <v>2014</v>
      </c>
      <c r="E18" t="s">
        <v>5</v>
      </c>
      <c r="F18" s="8">
        <f t="shared" ca="1" si="0"/>
        <v>0.75686377358309598</v>
      </c>
      <c r="G18">
        <f ca="1">IF($A$1=0,"",ROUND(_xlfn.NORM.INV(טבלה1[[#This Row],[Rand]],A0+Trend*(ROW()-1),Std)*INDEX(SeasonalityTable,Seasonality,MATCH(טבלה1[[#This Row],[Month]],Months,0)),0))</f>
        <v>303</v>
      </c>
      <c r="H18">
        <f t="shared" si="1"/>
        <v>300.28180000000003</v>
      </c>
      <c r="I18">
        <f ca="1">טבלה1[[#This Row],[Demand]]-טבלה1[[#This Row],[est]]</f>
        <v>2.7181999999999675</v>
      </c>
      <c r="L18" t="s">
        <v>15</v>
      </c>
      <c r="M18">
        <v>296</v>
      </c>
      <c r="O18">
        <v>2012</v>
      </c>
      <c r="P18" t="e">
        <f t="shared" ref="P18:S18" si="5">GETPIVOTDATA("Demand",$K$2,"Year",$O18,"Month",P$17)</f>
        <v>#REF!</v>
      </c>
      <c r="Q18" t="e">
        <f t="shared" si="5"/>
        <v>#REF!</v>
      </c>
      <c r="R18" t="e">
        <f t="shared" si="5"/>
        <v>#REF!</v>
      </c>
      <c r="S18" t="e">
        <f t="shared" si="5"/>
        <v>#REF!</v>
      </c>
      <c r="T18" t="e">
        <f>GETPIVOTDATA("Demand",$K$2,"Year",$O18,"Month",T$17)</f>
        <v>#REF!</v>
      </c>
      <c r="U18" t="e">
        <f t="shared" ref="U18:AA19" si="6">GETPIVOTDATA("Demand",$K$2,"Year",$O18,"Month",U$17)</f>
        <v>#REF!</v>
      </c>
      <c r="V18" t="e">
        <f t="shared" si="6"/>
        <v>#REF!</v>
      </c>
      <c r="W18" t="e">
        <f t="shared" si="6"/>
        <v>#REF!</v>
      </c>
      <c r="X18" t="e">
        <f t="shared" si="6"/>
        <v>#REF!</v>
      </c>
      <c r="Y18" t="e">
        <f t="shared" si="6"/>
        <v>#REF!</v>
      </c>
      <c r="Z18" t="e">
        <f t="shared" si="6"/>
        <v>#REF!</v>
      </c>
      <c r="AA18" t="e">
        <f t="shared" si="6"/>
        <v>#REF!</v>
      </c>
    </row>
    <row r="19" spans="1:28" x14ac:dyDescent="0.2">
      <c r="D19">
        <f t="shared" si="4"/>
        <v>2014</v>
      </c>
      <c r="E19" t="s">
        <v>6</v>
      </c>
      <c r="F19" s="8">
        <f t="shared" ca="1" si="0"/>
        <v>0.64497146142243489</v>
      </c>
      <c r="G19">
        <f ca="1">IF($A$1=0,"",ROUND(_xlfn.NORM.INV(טבלה1[[#This Row],[Rand]],A0+Trend*(ROW()-1),Std)*INDEX(SeasonalityTable,Seasonality,MATCH(טבלה1[[#This Row],[Month]],Months,0)),0))</f>
        <v>311</v>
      </c>
      <c r="H19">
        <f t="shared" si="1"/>
        <v>309.61559999999997</v>
      </c>
      <c r="I19">
        <f ca="1">טבלה1[[#This Row],[Demand]]-טבלה1[[#This Row],[est]]</f>
        <v>1.3844000000000278</v>
      </c>
      <c r="L19" t="s">
        <v>16</v>
      </c>
      <c r="M19">
        <v>361</v>
      </c>
      <c r="O19">
        <v>2013</v>
      </c>
      <c r="P19">
        <f t="shared" ref="P19:AA27" si="7">GETPIVOTDATA("Demand",$K$2,"Year",$O19,"Month",P$17)</f>
        <v>315</v>
      </c>
      <c r="Q19">
        <f t="shared" si="7"/>
        <v>298</v>
      </c>
      <c r="R19">
        <f t="shared" si="7"/>
        <v>271</v>
      </c>
      <c r="S19">
        <f t="shared" si="7"/>
        <v>315</v>
      </c>
      <c r="T19">
        <f>GETPIVOTDATA("Demand",$K$2,"Year",$O19,"Month",T$17)</f>
        <v>263</v>
      </c>
      <c r="U19">
        <f t="shared" si="6"/>
        <v>282</v>
      </c>
      <c r="V19">
        <f t="shared" si="6"/>
        <v>303</v>
      </c>
      <c r="W19">
        <f t="shared" si="6"/>
        <v>343</v>
      </c>
      <c r="X19">
        <f t="shared" si="6"/>
        <v>285</v>
      </c>
      <c r="Y19">
        <f t="shared" si="6"/>
        <v>294</v>
      </c>
      <c r="Z19">
        <f t="shared" si="6"/>
        <v>343</v>
      </c>
      <c r="AA19">
        <f t="shared" si="6"/>
        <v>271</v>
      </c>
    </row>
    <row r="20" spans="1:28" x14ac:dyDescent="0.2">
      <c r="A20" t="s">
        <v>33</v>
      </c>
      <c r="B20">
        <f>A0+120*Trend</f>
        <v>632.79999999999995</v>
      </c>
      <c r="D20">
        <f t="shared" si="4"/>
        <v>2014</v>
      </c>
      <c r="E20" t="s">
        <v>7</v>
      </c>
      <c r="F20" s="8">
        <f t="shared" ca="1" si="0"/>
        <v>0.42449882444770326</v>
      </c>
      <c r="G20">
        <f ca="1">IF($A$1=0,"",ROUND(_xlfn.NORM.INV(טבלה1[[#This Row],[Rand]],A0+Trend*(ROW()-1),Std)*INDEX(SeasonalityTable,Seasonality,MATCH(טבלה1[[#This Row],[Month]],Months,0)),0))</f>
        <v>339</v>
      </c>
      <c r="H20">
        <f t="shared" si="1"/>
        <v>339.21860000000004</v>
      </c>
      <c r="I20">
        <f ca="1">טבלה1[[#This Row],[Demand]]-טבלה1[[#This Row],[est]]</f>
        <v>-0.21860000000003765</v>
      </c>
      <c r="L20" t="s">
        <v>5</v>
      </c>
      <c r="M20">
        <v>298</v>
      </c>
      <c r="O20">
        <v>2014</v>
      </c>
      <c r="P20">
        <f t="shared" si="7"/>
        <v>356</v>
      </c>
      <c r="Q20">
        <f t="shared" si="7"/>
        <v>325</v>
      </c>
      <c r="R20">
        <f t="shared" si="7"/>
        <v>296</v>
      </c>
      <c r="S20">
        <f t="shared" si="7"/>
        <v>361</v>
      </c>
      <c r="T20">
        <f t="shared" si="7"/>
        <v>298</v>
      </c>
      <c r="U20">
        <f t="shared" si="7"/>
        <v>305</v>
      </c>
      <c r="V20">
        <f t="shared" si="7"/>
        <v>337</v>
      </c>
      <c r="W20">
        <f t="shared" si="7"/>
        <v>384</v>
      </c>
      <c r="X20">
        <f t="shared" si="7"/>
        <v>321</v>
      </c>
      <c r="Y20">
        <f t="shared" si="7"/>
        <v>321</v>
      </c>
      <c r="Z20">
        <f t="shared" si="7"/>
        <v>384</v>
      </c>
      <c r="AA20">
        <f t="shared" si="7"/>
        <v>303</v>
      </c>
    </row>
    <row r="21" spans="1:28" x14ac:dyDescent="0.2">
      <c r="A21" t="s">
        <v>34</v>
      </c>
      <c r="B21">
        <f>Trend</f>
        <v>2.94</v>
      </c>
      <c r="D21">
        <f t="shared" si="4"/>
        <v>2014</v>
      </c>
      <c r="E21" t="s">
        <v>8</v>
      </c>
      <c r="F21" s="8">
        <f t="shared" ca="1" si="0"/>
        <v>0.67887428746505385</v>
      </c>
      <c r="G21">
        <f ca="1">IF($A$1=0,"",ROUND(_xlfn.NORM.INV(טבלה1[[#This Row],[Rand]],A0+Trend*(ROW()-1),Std)*INDEX(SeasonalityTable,Seasonality,MATCH(טבלה1[[#This Row],[Month]],Months,0)),0))</f>
        <v>385</v>
      </c>
      <c r="H21">
        <f t="shared" si="1"/>
        <v>382.84399999999999</v>
      </c>
      <c r="I21">
        <f ca="1">טבלה1[[#This Row],[Demand]]-טבלה1[[#This Row],[est]]</f>
        <v>2.1560000000000059</v>
      </c>
      <c r="L21" t="s">
        <v>6</v>
      </c>
      <c r="M21">
        <v>305</v>
      </c>
      <c r="O21">
        <v>2015</v>
      </c>
      <c r="P21">
        <f t="shared" si="7"/>
        <v>396</v>
      </c>
      <c r="Q21">
        <f t="shared" si="7"/>
        <v>364</v>
      </c>
      <c r="R21">
        <f t="shared" si="7"/>
        <v>329</v>
      </c>
      <c r="S21">
        <f t="shared" si="7"/>
        <v>400</v>
      </c>
      <c r="T21">
        <f t="shared" si="7"/>
        <v>337</v>
      </c>
      <c r="U21">
        <f t="shared" si="7"/>
        <v>342</v>
      </c>
      <c r="V21">
        <f t="shared" si="7"/>
        <v>371</v>
      </c>
      <c r="W21">
        <f t="shared" si="7"/>
        <v>423</v>
      </c>
      <c r="X21">
        <f t="shared" si="7"/>
        <v>353</v>
      </c>
      <c r="Y21">
        <f t="shared" si="7"/>
        <v>357</v>
      </c>
      <c r="Z21">
        <f t="shared" si="7"/>
        <v>428</v>
      </c>
      <c r="AA21">
        <f t="shared" si="7"/>
        <v>331</v>
      </c>
    </row>
    <row r="22" spans="1:28" x14ac:dyDescent="0.2">
      <c r="A22" t="s">
        <v>35</v>
      </c>
      <c r="B22" s="9">
        <f>(B$20+20*B$21)*INDEX(SeasonalityTable,Seasonality,8)</f>
        <v>781.50799999999981</v>
      </c>
      <c r="D22">
        <f t="shared" si="4"/>
        <v>2014</v>
      </c>
      <c r="E22" t="s">
        <v>9</v>
      </c>
      <c r="F22" s="8">
        <f t="shared" ca="1" si="0"/>
        <v>0.7346776260191723</v>
      </c>
      <c r="G22">
        <f ca="1">IF($A$1=0,"",ROUND(_xlfn.NORM.INV(טבלה1[[#This Row],[Rand]],A0+Trend*(ROW()-1),Std)*INDEX(SeasonalityTable,Seasonality,MATCH(טבלה1[[#This Row],[Month]],Months,0)),0))</f>
        <v>323</v>
      </c>
      <c r="H22">
        <f t="shared" si="1"/>
        <v>321.23559999999998</v>
      </c>
      <c r="I22">
        <f ca="1">טבלה1[[#This Row],[Demand]]-טבלה1[[#This Row],[est]]</f>
        <v>1.7644000000000233</v>
      </c>
      <c r="L22" t="s">
        <v>7</v>
      </c>
      <c r="M22">
        <v>337</v>
      </c>
      <c r="O22">
        <v>2016</v>
      </c>
      <c r="P22">
        <f t="shared" si="7"/>
        <v>438</v>
      </c>
      <c r="Q22">
        <f t="shared" si="7"/>
        <v>412</v>
      </c>
      <c r="R22">
        <f t="shared" si="7"/>
        <v>362</v>
      </c>
      <c r="S22">
        <f t="shared" si="7"/>
        <v>436</v>
      </c>
      <c r="T22">
        <f t="shared" si="7"/>
        <v>363</v>
      </c>
      <c r="U22">
        <f t="shared" si="7"/>
        <v>382</v>
      </c>
      <c r="V22">
        <f t="shared" si="7"/>
        <v>413</v>
      </c>
      <c r="W22">
        <f t="shared" si="7"/>
        <v>463</v>
      </c>
      <c r="X22">
        <f t="shared" si="7"/>
        <v>388</v>
      </c>
      <c r="Y22">
        <f t="shared" si="7"/>
        <v>392</v>
      </c>
      <c r="Z22">
        <f t="shared" si="7"/>
        <v>465</v>
      </c>
      <c r="AA22">
        <f t="shared" si="7"/>
        <v>362</v>
      </c>
    </row>
    <row r="23" spans="1:28" x14ac:dyDescent="0.2">
      <c r="A23" t="s">
        <v>36</v>
      </c>
      <c r="B23" s="9">
        <f>(B$20+2*B$21)*INDEX(SeasonalityTable,Seasonality,2)</f>
        <v>664.22719999999993</v>
      </c>
      <c r="D23">
        <f t="shared" si="4"/>
        <v>2014</v>
      </c>
      <c r="E23" t="s">
        <v>10</v>
      </c>
      <c r="F23" s="8">
        <f t="shared" ca="1" si="0"/>
        <v>0.18508612629647181</v>
      </c>
      <c r="G23">
        <f ca="1">IF($A$1=0,"",ROUND(_xlfn.NORM.INV(טבלה1[[#This Row],[Rand]],A0+Trend*(ROW()-1),Std)*INDEX(SeasonalityTable,Seasonality,MATCH(טבלה1[[#This Row],[Month]],Months,0)),0))</f>
        <v>321</v>
      </c>
      <c r="H23">
        <f t="shared" si="1"/>
        <v>323.99919999999997</v>
      </c>
      <c r="I23">
        <f ca="1">טבלה1[[#This Row],[Demand]]-טבלה1[[#This Row],[est]]</f>
        <v>-2.9991999999999734</v>
      </c>
      <c r="L23" t="s">
        <v>8</v>
      </c>
      <c r="M23">
        <v>384</v>
      </c>
      <c r="O23">
        <v>2017</v>
      </c>
      <c r="P23">
        <f t="shared" si="7"/>
        <v>475</v>
      </c>
      <c r="Q23">
        <f t="shared" si="7"/>
        <v>442</v>
      </c>
      <c r="R23">
        <f t="shared" si="7"/>
        <v>394</v>
      </c>
      <c r="S23">
        <f t="shared" si="7"/>
        <v>473</v>
      </c>
      <c r="T23">
        <f t="shared" si="7"/>
        <v>396</v>
      </c>
      <c r="U23">
        <f t="shared" si="7"/>
        <v>409</v>
      </c>
      <c r="V23">
        <f t="shared" si="7"/>
        <v>439</v>
      </c>
      <c r="W23">
        <f t="shared" si="7"/>
        <v>501</v>
      </c>
      <c r="X23">
        <f t="shared" si="7"/>
        <v>422</v>
      </c>
      <c r="Y23">
        <f t="shared" si="7"/>
        <v>418</v>
      </c>
      <c r="Z23">
        <f t="shared" si="7"/>
        <v>504</v>
      </c>
      <c r="AA23">
        <f t="shared" si="7"/>
        <v>392</v>
      </c>
    </row>
    <row r="24" spans="1:28" x14ac:dyDescent="0.2">
      <c r="A24" t="s">
        <v>37</v>
      </c>
      <c r="B24" s="9">
        <f>(B$20+3*B$21)*INDEX(SeasonalityTable,Seasonality,3)</f>
        <v>590.29039999999998</v>
      </c>
      <c r="D24">
        <f t="shared" si="4"/>
        <v>2014</v>
      </c>
      <c r="E24" t="s">
        <v>11</v>
      </c>
      <c r="F24" s="8">
        <f t="shared" ca="1" si="0"/>
        <v>0.75470413236753386</v>
      </c>
      <c r="G24">
        <f ca="1">IF($A$1=0,"",ROUND(_xlfn.NORM.INV(טבלה1[[#This Row],[Rand]],A0+Trend*(ROW()-1),Std)*INDEX(SeasonalityTable,Seasonality,MATCH(טבלה1[[#This Row],[Month]],Months,0)),0))</f>
        <v>389</v>
      </c>
      <c r="H24">
        <f t="shared" si="1"/>
        <v>385.85820000000001</v>
      </c>
      <c r="I24">
        <f ca="1">טבלה1[[#This Row],[Demand]]-טבלה1[[#This Row],[est]]</f>
        <v>3.1417999999999893</v>
      </c>
      <c r="L24" t="s">
        <v>9</v>
      </c>
      <c r="M24">
        <v>321</v>
      </c>
      <c r="O24">
        <v>2018</v>
      </c>
      <c r="P24">
        <f t="shared" si="7"/>
        <v>509</v>
      </c>
      <c r="Q24">
        <f t="shared" si="7"/>
        <v>482</v>
      </c>
      <c r="R24">
        <f t="shared" si="7"/>
        <v>426</v>
      </c>
      <c r="S24">
        <f t="shared" si="7"/>
        <v>510</v>
      </c>
      <c r="T24">
        <f t="shared" si="7"/>
        <v>432</v>
      </c>
      <c r="U24">
        <f t="shared" si="7"/>
        <v>435</v>
      </c>
      <c r="V24">
        <f t="shared" si="7"/>
        <v>487</v>
      </c>
      <c r="W24">
        <f t="shared" si="7"/>
        <v>532</v>
      </c>
      <c r="X24">
        <f t="shared" si="7"/>
        <v>457</v>
      </c>
      <c r="Y24">
        <f t="shared" si="7"/>
        <v>460</v>
      </c>
      <c r="Z24">
        <f t="shared" si="7"/>
        <v>538</v>
      </c>
      <c r="AA24">
        <f t="shared" si="7"/>
        <v>423</v>
      </c>
    </row>
    <row r="25" spans="1:28" x14ac:dyDescent="0.2">
      <c r="A25" t="s">
        <v>38</v>
      </c>
      <c r="B25" s="9">
        <f>(B$20+4*B$21)*INDEX(SeasonalityTable,Seasonality,4)</f>
        <v>702.57039999999995</v>
      </c>
      <c r="D25">
        <f t="shared" si="4"/>
        <v>2014</v>
      </c>
      <c r="E25" t="s">
        <v>12</v>
      </c>
      <c r="F25" s="8">
        <f t="shared" ca="1" si="0"/>
        <v>0.12817672091995436</v>
      </c>
      <c r="G25">
        <f ca="1">IF($A$1=0,"",ROUND(_xlfn.NORM.INV(טבלה1[[#This Row],[Rand]],A0+Trend*(ROW()-1),Std)*INDEX(SeasonalityTable,Seasonality,MATCH(טבלה1[[#This Row],[Month]],Months,0)),0))</f>
        <v>298</v>
      </c>
      <c r="H25">
        <f t="shared" si="1"/>
        <v>301.48160000000001</v>
      </c>
      <c r="I25">
        <f ca="1">טבלה1[[#This Row],[Demand]]-טבלה1[[#This Row],[est]]</f>
        <v>-3.4816000000000145</v>
      </c>
      <c r="L25" t="s">
        <v>10</v>
      </c>
      <c r="M25">
        <v>321</v>
      </c>
      <c r="O25">
        <v>2019</v>
      </c>
      <c r="P25">
        <f t="shared" si="7"/>
        <v>552</v>
      </c>
      <c r="Q25">
        <f t="shared" si="7"/>
        <v>520</v>
      </c>
      <c r="R25">
        <f t="shared" si="7"/>
        <v>459</v>
      </c>
      <c r="S25">
        <f t="shared" si="7"/>
        <v>551</v>
      </c>
      <c r="T25">
        <f t="shared" si="7"/>
        <v>465</v>
      </c>
      <c r="U25">
        <f t="shared" si="7"/>
        <v>472</v>
      </c>
      <c r="V25">
        <f t="shared" si="7"/>
        <v>515</v>
      </c>
      <c r="W25">
        <f t="shared" si="7"/>
        <v>582</v>
      </c>
      <c r="X25">
        <f t="shared" si="7"/>
        <v>493</v>
      </c>
      <c r="Y25">
        <f t="shared" si="7"/>
        <v>488</v>
      </c>
      <c r="Z25">
        <f t="shared" si="7"/>
        <v>580</v>
      </c>
      <c r="AA25">
        <f t="shared" si="7"/>
        <v>449</v>
      </c>
    </row>
    <row r="26" spans="1:28" x14ac:dyDescent="0.2">
      <c r="D26">
        <f t="shared" si="4"/>
        <v>2015</v>
      </c>
      <c r="E26" t="s">
        <v>13</v>
      </c>
      <c r="F26" s="8">
        <f t="shared" ca="1" si="0"/>
        <v>0.96130315758648199</v>
      </c>
      <c r="G26">
        <f ca="1">IF($A$1=0,"",ROUND(_xlfn.NORM.INV(טבלה1[[#This Row],[Rand]],A0+Trend*(ROW()-1),Std)*INDEX(SeasonalityTable,Seasonality,MATCH(טבלה1[[#This Row],[Month]],Months,0)),0))</f>
        <v>403</v>
      </c>
      <c r="H26">
        <f t="shared" si="1"/>
        <v>395.92</v>
      </c>
      <c r="I26">
        <f ca="1">טבלה1[[#This Row],[Demand]]-טבלה1[[#This Row],[est]]</f>
        <v>7.0799999999999841</v>
      </c>
      <c r="L26" t="s">
        <v>11</v>
      </c>
      <c r="M26">
        <v>384</v>
      </c>
      <c r="O26">
        <v>2020</v>
      </c>
      <c r="P26">
        <f t="shared" si="7"/>
        <v>598</v>
      </c>
      <c r="Q26">
        <f t="shared" si="7"/>
        <v>564</v>
      </c>
      <c r="R26">
        <f t="shared" si="7"/>
        <v>494</v>
      </c>
      <c r="S26">
        <f t="shared" si="7"/>
        <v>591</v>
      </c>
      <c r="T26">
        <f t="shared" si="7"/>
        <v>490</v>
      </c>
      <c r="U26">
        <f t="shared" si="7"/>
        <v>508</v>
      </c>
      <c r="V26">
        <f t="shared" si="7"/>
        <v>553</v>
      </c>
      <c r="W26">
        <f t="shared" si="7"/>
        <v>624</v>
      </c>
      <c r="X26">
        <f t="shared" si="7"/>
        <v>523</v>
      </c>
      <c r="Y26">
        <f t="shared" si="7"/>
        <v>526</v>
      </c>
      <c r="Z26">
        <f t="shared" si="7"/>
        <v>618</v>
      </c>
      <c r="AA26">
        <f t="shared" si="7"/>
        <v>484</v>
      </c>
    </row>
    <row r="27" spans="1:28" x14ac:dyDescent="0.2">
      <c r="D27">
        <f t="shared" si="4"/>
        <v>2015</v>
      </c>
      <c r="E27" t="s">
        <v>14</v>
      </c>
      <c r="F27" s="8">
        <f t="shared" ca="1" si="0"/>
        <v>0.81268508769345893</v>
      </c>
      <c r="G27">
        <f ca="1">IF($A$1=0,"",ROUND(_xlfn.NORM.INV(טבלה1[[#This Row],[Rand]],A0+Trend*(ROW()-1),Std)*INDEX(SeasonalityTable,Seasonality,MATCH(טבלה1[[#This Row],[Month]],Months,0)),0))</f>
        <v>374</v>
      </c>
      <c r="H27">
        <f t="shared" si="1"/>
        <v>370.69760000000002</v>
      </c>
      <c r="I27">
        <f ca="1">טבלה1[[#This Row],[Demand]]-טבלה1[[#This Row],[est]]</f>
        <v>3.3023999999999774</v>
      </c>
      <c r="L27" t="s">
        <v>12</v>
      </c>
      <c r="M27">
        <v>303</v>
      </c>
      <c r="O27">
        <v>2021</v>
      </c>
      <c r="P27">
        <f t="shared" si="7"/>
        <v>629</v>
      </c>
      <c r="Q27">
        <f t="shared" si="7"/>
        <v>582</v>
      </c>
      <c r="R27">
        <f t="shared" si="7"/>
        <v>528</v>
      </c>
      <c r="S27">
        <f t="shared" si="7"/>
        <v>628</v>
      </c>
      <c r="T27">
        <f t="shared" si="7"/>
        <v>529</v>
      </c>
      <c r="U27">
        <f t="shared" si="7"/>
        <v>543</v>
      </c>
      <c r="V27">
        <f t="shared" si="7"/>
        <v>591</v>
      </c>
      <c r="W27">
        <f t="shared" si="7"/>
        <v>661</v>
      </c>
      <c r="X27">
        <f t="shared" si="7"/>
        <v>549</v>
      </c>
      <c r="Y27">
        <f t="shared" si="7"/>
        <v>558</v>
      </c>
      <c r="Z27">
        <f t="shared" si="7"/>
        <v>659</v>
      </c>
      <c r="AA27">
        <f t="shared" si="7"/>
        <v>511</v>
      </c>
    </row>
    <row r="28" spans="1:28" x14ac:dyDescent="0.2">
      <c r="D28">
        <f t="shared" si="4"/>
        <v>2015</v>
      </c>
      <c r="E28" t="s">
        <v>15</v>
      </c>
      <c r="F28" s="8">
        <f t="shared" ca="1" si="0"/>
        <v>0.38005178364417491</v>
      </c>
      <c r="G28">
        <f ca="1">IF($A$1=0,"",ROUND(_xlfn.NORM.INV(טבלה1[[#This Row],[Rand]],A0+Trend*(ROW()-1),Std)*INDEX(SeasonalityTable,Seasonality,MATCH(טבלה1[[#This Row],[Month]],Months,0)),0))</f>
        <v>330</v>
      </c>
      <c r="H28">
        <f t="shared" si="1"/>
        <v>330.62959999999998</v>
      </c>
      <c r="I28">
        <f ca="1">טבלה1[[#This Row],[Demand]]-טבלה1[[#This Row],[est]]</f>
        <v>-0.62959999999998217</v>
      </c>
      <c r="K28">
        <v>2015</v>
      </c>
      <c r="L28" t="s">
        <v>13</v>
      </c>
      <c r="M28">
        <v>396</v>
      </c>
      <c r="O28">
        <v>2022</v>
      </c>
    </row>
    <row r="29" spans="1:28" x14ac:dyDescent="0.2">
      <c r="D29">
        <f t="shared" si="4"/>
        <v>2015</v>
      </c>
      <c r="E29" t="s">
        <v>16</v>
      </c>
      <c r="F29" s="8">
        <f t="shared" ca="1" si="0"/>
        <v>0.12553482227375212</v>
      </c>
      <c r="G29">
        <f ca="1">IF($A$1=0,"",ROUND(_xlfn.NORM.INV(טבלה1[[#This Row],[Rand]],A0+Trend*(ROW()-1),Std)*INDEX(SeasonalityTable,Seasonality,MATCH(טבלה1[[#This Row],[Month]],Months,0)),0))</f>
        <v>390</v>
      </c>
      <c r="H29">
        <f t="shared" si="1"/>
        <v>394.92880000000002</v>
      </c>
      <c r="I29">
        <f ca="1">טבלה1[[#This Row],[Demand]]-טבלה1[[#This Row],[est]]</f>
        <v>-4.9288000000000238</v>
      </c>
      <c r="L29" t="s">
        <v>14</v>
      </c>
      <c r="M29">
        <v>364</v>
      </c>
    </row>
    <row r="30" spans="1:28" x14ac:dyDescent="0.2">
      <c r="D30">
        <f t="shared" si="4"/>
        <v>2015</v>
      </c>
      <c r="E30" t="s">
        <v>5</v>
      </c>
      <c r="F30" s="8">
        <f t="shared" ca="1" si="0"/>
        <v>0.60125317781303322</v>
      </c>
      <c r="G30">
        <f ca="1">IF($A$1=0,"",ROUND(_xlfn.NORM.INV(טבלה1[[#This Row],[Rand]],A0+Trend*(ROW()-1),Std)*INDEX(SeasonalityTable,Seasonality,MATCH(טבלה1[[#This Row],[Month]],Months,0)),0))</f>
        <v>333</v>
      </c>
      <c r="H30">
        <f t="shared" si="1"/>
        <v>332.38659999999999</v>
      </c>
      <c r="I30">
        <f ca="1">טבלה1[[#This Row],[Demand]]-טבלה1[[#This Row],[est]]</f>
        <v>0.61340000000001282</v>
      </c>
      <c r="L30" t="s">
        <v>15</v>
      </c>
      <c r="M30">
        <v>329</v>
      </c>
      <c r="P30" t="e">
        <f>AVERAGE(P18:P28)</f>
        <v>#REF!</v>
      </c>
      <c r="Q30" t="e">
        <f t="shared" ref="Q30:AA30" si="8">AVERAGE(Q18:Q28)</f>
        <v>#REF!</v>
      </c>
      <c r="R30" t="e">
        <f t="shared" si="8"/>
        <v>#REF!</v>
      </c>
      <c r="S30" t="e">
        <f t="shared" si="8"/>
        <v>#REF!</v>
      </c>
      <c r="T30" t="e">
        <f t="shared" si="8"/>
        <v>#REF!</v>
      </c>
      <c r="U30" t="e">
        <f t="shared" si="8"/>
        <v>#REF!</v>
      </c>
      <c r="V30" t="e">
        <f t="shared" si="8"/>
        <v>#REF!</v>
      </c>
      <c r="W30" t="e">
        <f t="shared" si="8"/>
        <v>#REF!</v>
      </c>
      <c r="X30" t="e">
        <f t="shared" si="8"/>
        <v>#REF!</v>
      </c>
      <c r="Y30" t="e">
        <f t="shared" si="8"/>
        <v>#REF!</v>
      </c>
      <c r="Z30" t="e">
        <f t="shared" si="8"/>
        <v>#REF!</v>
      </c>
      <c r="AA30" t="e">
        <f t="shared" si="8"/>
        <v>#REF!</v>
      </c>
      <c r="AB30" t="e">
        <f>AVERAGE(P30:AA30)</f>
        <v>#REF!</v>
      </c>
    </row>
    <row r="31" spans="1:28" x14ac:dyDescent="0.2">
      <c r="D31">
        <f t="shared" si="4"/>
        <v>2015</v>
      </c>
      <c r="E31" t="s">
        <v>6</v>
      </c>
      <c r="F31" s="8">
        <f t="shared" ca="1" si="0"/>
        <v>0.65097071596672518</v>
      </c>
      <c r="G31">
        <f ca="1">IF($A$1=0,"",ROUND(_xlfn.NORM.INV(טבלה1[[#This Row],[Rand]],A0+Trend*(ROW()-1),Std)*INDEX(SeasonalityTable,Seasonality,MATCH(טבלה1[[#This Row],[Month]],Months,0)),0))</f>
        <v>344</v>
      </c>
      <c r="H31">
        <f t="shared" si="1"/>
        <v>342.42599999999999</v>
      </c>
      <c r="I31">
        <f ca="1">טבלה1[[#This Row],[Demand]]-טבלה1[[#This Row],[est]]</f>
        <v>1.5740000000000123</v>
      </c>
      <c r="L31" t="s">
        <v>16</v>
      </c>
      <c r="M31">
        <v>400</v>
      </c>
    </row>
    <row r="32" spans="1:28" x14ac:dyDescent="0.2">
      <c r="D32">
        <f t="shared" si="4"/>
        <v>2015</v>
      </c>
      <c r="E32" t="s">
        <v>7</v>
      </c>
      <c r="F32" s="8">
        <f t="shared" ca="1" si="0"/>
        <v>0.11443104937318271</v>
      </c>
      <c r="G32">
        <f ca="1">IF($A$1=0,"",ROUND(_xlfn.NORM.INV(טבלה1[[#This Row],[Rand]],A0+Trend*(ROW()-1),Std)*INDEX(SeasonalityTable,Seasonality,MATCH(טבלה1[[#This Row],[Month]],Months,0)),0))</f>
        <v>370</v>
      </c>
      <c r="H32">
        <f t="shared" si="1"/>
        <v>374.85140000000001</v>
      </c>
      <c r="I32">
        <f ca="1">טבלה1[[#This Row],[Demand]]-טבלה1[[#This Row],[est]]</f>
        <v>-4.8514000000000124</v>
      </c>
      <c r="L32" t="s">
        <v>5</v>
      </c>
      <c r="M32">
        <v>337</v>
      </c>
      <c r="P32" t="e">
        <f>P30/$AB30</f>
        <v>#REF!</v>
      </c>
      <c r="Q32" t="e">
        <f t="shared" ref="Q32:AA32" si="9">Q30/$AB30</f>
        <v>#REF!</v>
      </c>
      <c r="R32" t="e">
        <f t="shared" si="9"/>
        <v>#REF!</v>
      </c>
      <c r="S32" t="e">
        <f t="shared" si="9"/>
        <v>#REF!</v>
      </c>
      <c r="T32" t="e">
        <f t="shared" si="9"/>
        <v>#REF!</v>
      </c>
      <c r="U32" t="e">
        <f t="shared" si="9"/>
        <v>#REF!</v>
      </c>
      <c r="V32" t="e">
        <f t="shared" si="9"/>
        <v>#REF!</v>
      </c>
      <c r="W32" t="e">
        <f t="shared" si="9"/>
        <v>#REF!</v>
      </c>
      <c r="X32" t="e">
        <f t="shared" si="9"/>
        <v>#REF!</v>
      </c>
      <c r="Y32" t="e">
        <f t="shared" si="9"/>
        <v>#REF!</v>
      </c>
      <c r="Z32" t="e">
        <f t="shared" si="9"/>
        <v>#REF!</v>
      </c>
      <c r="AA32" t="e">
        <f t="shared" si="9"/>
        <v>#REF!</v>
      </c>
    </row>
    <row r="33" spans="4:28" x14ac:dyDescent="0.2">
      <c r="D33">
        <f t="shared" si="4"/>
        <v>2015</v>
      </c>
      <c r="E33" t="s">
        <v>8</v>
      </c>
      <c r="F33" s="8">
        <f t="shared" ca="1" si="0"/>
        <v>0.66584422782039288</v>
      </c>
      <c r="G33">
        <f ca="1">IF($A$1=0,"",ROUND(_xlfn.NORM.INV(טבלה1[[#This Row],[Rand]],A0+Trend*(ROW()-1),Std)*INDEX(SeasonalityTable,Seasonality,MATCH(טבלה1[[#This Row],[Month]],Months,0)),0))</f>
        <v>424</v>
      </c>
      <c r="H33">
        <f t="shared" si="1"/>
        <v>422.71039999999994</v>
      </c>
      <c r="I33">
        <f ca="1">טבלה1[[#This Row],[Demand]]-טבלה1[[#This Row],[est]]</f>
        <v>1.289600000000064</v>
      </c>
      <c r="L33" t="s">
        <v>6</v>
      </c>
      <c r="M33">
        <v>342</v>
      </c>
    </row>
    <row r="34" spans="4:28" x14ac:dyDescent="0.2">
      <c r="D34">
        <f t="shared" si="4"/>
        <v>2015</v>
      </c>
      <c r="E34" t="s">
        <v>9</v>
      </c>
      <c r="F34" s="8">
        <f t="shared" ca="1" si="0"/>
        <v>0.14363669110884281</v>
      </c>
      <c r="G34">
        <f ca="1">IF($A$1=0,"",ROUND(_xlfn.NORM.INV(טבלה1[[#This Row],[Rand]],A0+Trend*(ROW()-1),Std)*INDEX(SeasonalityTable,Seasonality,MATCH(טבלה1[[#This Row],[Month]],Months,0)),0))</f>
        <v>351</v>
      </c>
      <c r="H34">
        <f t="shared" ref="H34:H65" si="10">(A0+(ROW()-1)*Trend)*INDEX(SeasonalityTable,Seasonality,MOD(ROW()-2,12)+1)</f>
        <v>354.39879999999994</v>
      </c>
      <c r="I34">
        <f ca="1">טבלה1[[#This Row],[Demand]]-טבלה1[[#This Row],[est]]</f>
        <v>-3.3987999999999374</v>
      </c>
      <c r="L34" t="s">
        <v>7</v>
      </c>
      <c r="M34">
        <v>371</v>
      </c>
      <c r="P34" t="e">
        <f t="shared" ref="P34:AA34" si="11">INDEX(P3:P13,Seasonality)-P32</f>
        <v>#REF!</v>
      </c>
      <c r="Q34" t="e">
        <f t="shared" si="11"/>
        <v>#REF!</v>
      </c>
      <c r="R34" t="e">
        <f t="shared" si="11"/>
        <v>#REF!</v>
      </c>
      <c r="S34" t="e">
        <f t="shared" si="11"/>
        <v>#REF!</v>
      </c>
      <c r="T34" t="e">
        <f t="shared" si="11"/>
        <v>#REF!</v>
      </c>
      <c r="U34" t="e">
        <f t="shared" si="11"/>
        <v>#REF!</v>
      </c>
      <c r="V34" t="e">
        <f t="shared" si="11"/>
        <v>#REF!</v>
      </c>
      <c r="W34" t="e">
        <f t="shared" si="11"/>
        <v>#REF!</v>
      </c>
      <c r="X34" t="e">
        <f t="shared" si="11"/>
        <v>#REF!</v>
      </c>
      <c r="Y34" t="e">
        <f t="shared" si="11"/>
        <v>#REF!</v>
      </c>
      <c r="Z34" t="e">
        <f t="shared" si="11"/>
        <v>#REF!</v>
      </c>
      <c r="AA34" t="e">
        <f t="shared" si="11"/>
        <v>#REF!</v>
      </c>
      <c r="AB34" t="e">
        <f>_xlfn.STDEV.S(P34:AA34)</f>
        <v>#REF!</v>
      </c>
    </row>
    <row r="35" spans="4:28" x14ac:dyDescent="0.2">
      <c r="D35">
        <f t="shared" si="4"/>
        <v>2015</v>
      </c>
      <c r="E35" t="s">
        <v>10</v>
      </c>
      <c r="F35" s="8">
        <f t="shared" ca="1" si="0"/>
        <v>0.31189168946889989</v>
      </c>
      <c r="G35">
        <f ca="1">IF($A$1=0,"",ROUND(_xlfn.NORM.INV(טבלה1[[#This Row],[Rand]],A0+Trend*(ROW()-1),Std)*INDEX(SeasonalityTable,Seasonality,MATCH(טבלה1[[#This Row],[Month]],Months,0)),0))</f>
        <v>355</v>
      </c>
      <c r="H35">
        <f t="shared" si="10"/>
        <v>357.16239999999993</v>
      </c>
      <c r="I35">
        <f ca="1">טבלה1[[#This Row],[Demand]]-טבלה1[[#This Row],[est]]</f>
        <v>-2.1623999999999342</v>
      </c>
      <c r="L35" t="s">
        <v>8</v>
      </c>
      <c r="M35">
        <v>423</v>
      </c>
    </row>
    <row r="36" spans="4:28" x14ac:dyDescent="0.2">
      <c r="D36">
        <f t="shared" si="4"/>
        <v>2015</v>
      </c>
      <c r="E36" t="s">
        <v>11</v>
      </c>
      <c r="F36" s="8">
        <f t="shared" ca="1" si="0"/>
        <v>0.61765653308791091</v>
      </c>
      <c r="G36">
        <f ca="1">IF($A$1=0,"",ROUND(_xlfn.NORM.INV(טבלה1[[#This Row],[Rand]],A0+Trend*(ROW()-1),Std)*INDEX(SeasonalityTable,Seasonality,MATCH(טבלה1[[#This Row],[Month]],Months,0)),0))</f>
        <v>426</v>
      </c>
      <c r="H36">
        <f t="shared" si="10"/>
        <v>425.01900000000001</v>
      </c>
      <c r="I36">
        <f ca="1">טבלה1[[#This Row],[Demand]]-טבלה1[[#This Row],[est]]</f>
        <v>0.98099999999999454</v>
      </c>
      <c r="L36" t="s">
        <v>9</v>
      </c>
      <c r="M36">
        <v>353</v>
      </c>
    </row>
    <row r="37" spans="4:28" x14ac:dyDescent="0.2">
      <c r="D37">
        <f t="shared" si="4"/>
        <v>2015</v>
      </c>
      <c r="E37" t="s">
        <v>12</v>
      </c>
      <c r="F37" s="8">
        <f t="shared" ca="1" si="0"/>
        <v>0.32547900985349854</v>
      </c>
      <c r="G37">
        <f ca="1">IF($A$1=0,"",ROUND(_xlfn.NORM.INV(טבלה1[[#This Row],[Rand]],A0+Trend*(ROW()-1),Std)*INDEX(SeasonalityTable,Seasonality,MATCH(טבלה1[[#This Row],[Month]],Months,0)),0))</f>
        <v>330</v>
      </c>
      <c r="H37">
        <f t="shared" si="10"/>
        <v>331.82240000000002</v>
      </c>
      <c r="I37">
        <f ca="1">טבלה1[[#This Row],[Demand]]-טבלה1[[#This Row],[est]]</f>
        <v>-1.822400000000016</v>
      </c>
      <c r="L37" t="s">
        <v>10</v>
      </c>
      <c r="M37">
        <v>357</v>
      </c>
    </row>
    <row r="38" spans="4:28" x14ac:dyDescent="0.2">
      <c r="D38">
        <f t="shared" si="4"/>
        <v>2016</v>
      </c>
      <c r="E38" t="s">
        <v>13</v>
      </c>
      <c r="F38" s="8">
        <f t="shared" ca="1" si="0"/>
        <v>9.5185811756310246E-2</v>
      </c>
      <c r="G38">
        <f ca="1">IF($A$1=0,"",ROUND(_xlfn.NORM.INV(טבלה1[[#This Row],[Rand]],A0+Trend*(ROW()-1),Std)*INDEX(SeasonalityTable,Seasonality,MATCH(טבלה1[[#This Row],[Month]],Months,0)),0))</f>
        <v>430</v>
      </c>
      <c r="H38">
        <f t="shared" si="10"/>
        <v>435.43360000000001</v>
      </c>
      <c r="I38">
        <f ca="1">טבלה1[[#This Row],[Demand]]-טבלה1[[#This Row],[est]]</f>
        <v>-5.4336000000000126</v>
      </c>
      <c r="L38" t="s">
        <v>11</v>
      </c>
      <c r="M38">
        <v>428</v>
      </c>
    </row>
    <row r="39" spans="4:28" x14ac:dyDescent="0.2">
      <c r="D39">
        <f t="shared" si="4"/>
        <v>2016</v>
      </c>
      <c r="E39" t="s">
        <v>14</v>
      </c>
      <c r="F39" s="8">
        <f t="shared" ca="1" si="0"/>
        <v>0.86435195592924818</v>
      </c>
      <c r="G39">
        <f ca="1">IF($A$1=0,"",ROUND(_xlfn.NORM.INV(טבלה1[[#This Row],[Rand]],A0+Trend*(ROW()-1),Std)*INDEX(SeasonalityTable,Seasonality,MATCH(טבלה1[[#This Row],[Month]],Months,0)),0))</f>
        <v>412</v>
      </c>
      <c r="H39">
        <f t="shared" si="10"/>
        <v>407.38880000000006</v>
      </c>
      <c r="I39">
        <f ca="1">טבלה1[[#This Row],[Demand]]-טבלה1[[#This Row],[est]]</f>
        <v>4.6111999999999398</v>
      </c>
      <c r="L39" t="s">
        <v>12</v>
      </c>
      <c r="M39">
        <v>331</v>
      </c>
    </row>
    <row r="40" spans="4:28" x14ac:dyDescent="0.2">
      <c r="D40">
        <f t="shared" si="4"/>
        <v>2016</v>
      </c>
      <c r="E40" t="s">
        <v>15</v>
      </c>
      <c r="F40" s="8">
        <f t="shared" ca="1" si="0"/>
        <v>0.44476319728654934</v>
      </c>
      <c r="G40">
        <f ca="1">IF($A$1=0,"",ROUND(_xlfn.NORM.INV(טבלה1[[#This Row],[Rand]],A0+Trend*(ROW()-1),Std)*INDEX(SeasonalityTable,Seasonality,MATCH(טבלה1[[#This Row],[Month]],Months,0)),0))</f>
        <v>363</v>
      </c>
      <c r="H40">
        <f t="shared" si="10"/>
        <v>363.0872</v>
      </c>
      <c r="I40">
        <f ca="1">טבלה1[[#This Row],[Demand]]-טבלה1[[#This Row],[est]]</f>
        <v>-8.7199999999995725E-2</v>
      </c>
      <c r="K40">
        <v>2016</v>
      </c>
      <c r="L40" t="s">
        <v>13</v>
      </c>
      <c r="M40">
        <v>438</v>
      </c>
    </row>
    <row r="41" spans="4:28" x14ac:dyDescent="0.2">
      <c r="D41">
        <f t="shared" si="4"/>
        <v>2016</v>
      </c>
      <c r="E41" t="s">
        <v>16</v>
      </c>
      <c r="F41" s="8">
        <f t="shared" ca="1" si="0"/>
        <v>0.42921300222073278</v>
      </c>
      <c r="G41">
        <f ca="1">IF($A$1=0,"",ROUND(_xlfn.NORM.INV(טבלה1[[#This Row],[Rand]],A0+Trend*(ROW()-1),Std)*INDEX(SeasonalityTable,Seasonality,MATCH(טבלה1[[#This Row],[Month]],Months,0)),0))</f>
        <v>433</v>
      </c>
      <c r="H41">
        <f t="shared" si="10"/>
        <v>433.38400000000007</v>
      </c>
      <c r="I41">
        <f ca="1">טבלה1[[#This Row],[Demand]]-טבלה1[[#This Row],[est]]</f>
        <v>-0.3840000000000714</v>
      </c>
      <c r="L41" t="s">
        <v>14</v>
      </c>
      <c r="M41">
        <v>412</v>
      </c>
    </row>
    <row r="42" spans="4:28" x14ac:dyDescent="0.2">
      <c r="D42">
        <f t="shared" si="4"/>
        <v>2016</v>
      </c>
      <c r="E42" t="s">
        <v>5</v>
      </c>
      <c r="F42" s="8">
        <f t="shared" ca="1" si="0"/>
        <v>0.45814926216671548</v>
      </c>
      <c r="G42">
        <f ca="1">IF($A$1=0,"",ROUND(_xlfn.NORM.INV(טבלה1[[#This Row],[Rand]],A0+Trend*(ROW()-1),Std)*INDEX(SeasonalityTable,Seasonality,MATCH(טבלה1[[#This Row],[Month]],Months,0)),0))</f>
        <v>364</v>
      </c>
      <c r="H42">
        <f t="shared" si="10"/>
        <v>364.4914</v>
      </c>
      <c r="I42">
        <f ca="1">טבלה1[[#This Row],[Demand]]-טבלה1[[#This Row],[est]]</f>
        <v>-0.49139999999999873</v>
      </c>
      <c r="L42" t="s">
        <v>15</v>
      </c>
      <c r="M42">
        <v>362</v>
      </c>
    </row>
    <row r="43" spans="4:28" x14ac:dyDescent="0.2">
      <c r="D43">
        <f t="shared" si="4"/>
        <v>2016</v>
      </c>
      <c r="E43" t="s">
        <v>6</v>
      </c>
      <c r="F43" s="8">
        <f t="shared" ca="1" si="0"/>
        <v>0.7772137287355112</v>
      </c>
      <c r="G43">
        <f ca="1">IF($A$1=0,"",ROUND(_xlfn.NORM.INV(טבלה1[[#This Row],[Rand]],A0+Trend*(ROW()-1),Std)*INDEX(SeasonalityTable,Seasonality,MATCH(טבלה1[[#This Row],[Month]],Months,0)),0))</f>
        <v>378</v>
      </c>
      <c r="H43">
        <f t="shared" si="10"/>
        <v>375.2364</v>
      </c>
      <c r="I43">
        <f ca="1">טבלה1[[#This Row],[Demand]]-טבלה1[[#This Row],[est]]</f>
        <v>2.7635999999999967</v>
      </c>
      <c r="L43" t="s">
        <v>16</v>
      </c>
      <c r="M43">
        <v>436</v>
      </c>
    </row>
    <row r="44" spans="4:28" x14ac:dyDescent="0.2">
      <c r="D44">
        <f t="shared" si="4"/>
        <v>2016</v>
      </c>
      <c r="E44" t="s">
        <v>7</v>
      </c>
      <c r="F44" s="8">
        <f t="shared" ca="1" si="0"/>
        <v>0.87976322387407968</v>
      </c>
      <c r="G44">
        <f ca="1">IF($A$1=0,"",ROUND(_xlfn.NORM.INV(טבלה1[[#This Row],[Rand]],A0+Trend*(ROW()-1),Std)*INDEX(SeasonalityTable,Seasonality,MATCH(טבלה1[[#This Row],[Month]],Months,0)),0))</f>
        <v>415</v>
      </c>
      <c r="H44">
        <f t="shared" si="10"/>
        <v>410.48420000000004</v>
      </c>
      <c r="I44">
        <f ca="1">טבלה1[[#This Row],[Demand]]-טבלה1[[#This Row],[est]]</f>
        <v>4.5157999999999561</v>
      </c>
      <c r="L44" t="s">
        <v>5</v>
      </c>
      <c r="M44">
        <v>363</v>
      </c>
    </row>
    <row r="45" spans="4:28" x14ac:dyDescent="0.2">
      <c r="D45">
        <f t="shared" si="4"/>
        <v>2016</v>
      </c>
      <c r="E45" t="s">
        <v>8</v>
      </c>
      <c r="F45" s="8">
        <f t="shared" ca="1" si="0"/>
        <v>0.92949897966772665</v>
      </c>
      <c r="G45">
        <f ca="1">IF($A$1=0,"",ROUND(_xlfn.NORM.INV(טבלה1[[#This Row],[Rand]],A0+Trend*(ROW()-1),Std)*INDEX(SeasonalityTable,Seasonality,MATCH(טבלה1[[#This Row],[Month]],Months,0)),0))</f>
        <v>469</v>
      </c>
      <c r="H45">
        <f t="shared" si="10"/>
        <v>462.57679999999999</v>
      </c>
      <c r="I45">
        <f ca="1">טבלה1[[#This Row],[Demand]]-טבלה1[[#This Row],[est]]</f>
        <v>6.4232000000000085</v>
      </c>
      <c r="L45" t="s">
        <v>6</v>
      </c>
      <c r="M45">
        <v>382</v>
      </c>
    </row>
    <row r="46" spans="4:28" x14ac:dyDescent="0.2">
      <c r="D46">
        <f t="shared" si="4"/>
        <v>2016</v>
      </c>
      <c r="E46" t="s">
        <v>9</v>
      </c>
      <c r="F46" s="8">
        <f t="shared" ca="1" si="0"/>
        <v>0.40085596110183475</v>
      </c>
      <c r="G46">
        <f ca="1">IF($A$1=0,"",ROUND(_xlfn.NORM.INV(טבלה1[[#This Row],[Rand]],A0+Trend*(ROW()-1),Std)*INDEX(SeasonalityTable,Seasonality,MATCH(טבלה1[[#This Row],[Month]],Months,0)),0))</f>
        <v>387</v>
      </c>
      <c r="H46">
        <f t="shared" si="10"/>
        <v>387.56200000000001</v>
      </c>
      <c r="I46">
        <f ca="1">טבלה1[[#This Row],[Demand]]-טבלה1[[#This Row],[est]]</f>
        <v>-0.56200000000001182</v>
      </c>
      <c r="L46" t="s">
        <v>7</v>
      </c>
      <c r="M46">
        <v>413</v>
      </c>
    </row>
    <row r="47" spans="4:28" x14ac:dyDescent="0.2">
      <c r="D47">
        <f t="shared" si="4"/>
        <v>2016</v>
      </c>
      <c r="E47" t="s">
        <v>10</v>
      </c>
      <c r="F47" s="8">
        <f t="shared" ca="1" si="0"/>
        <v>0.19840535713230978</v>
      </c>
      <c r="G47">
        <f ca="1">IF($A$1=0,"",ROUND(_xlfn.NORM.INV(טבלה1[[#This Row],[Rand]],A0+Trend*(ROW()-1),Std)*INDEX(SeasonalityTable,Seasonality,MATCH(טבלה1[[#This Row],[Month]],Months,0)),0))</f>
        <v>387</v>
      </c>
      <c r="H47">
        <f t="shared" si="10"/>
        <v>390.32560000000001</v>
      </c>
      <c r="I47">
        <f ca="1">טבלה1[[#This Row],[Demand]]-טבלה1[[#This Row],[est]]</f>
        <v>-3.3256000000000085</v>
      </c>
      <c r="L47" t="s">
        <v>8</v>
      </c>
      <c r="M47">
        <v>463</v>
      </c>
    </row>
    <row r="48" spans="4:28" x14ac:dyDescent="0.2">
      <c r="D48">
        <f t="shared" si="4"/>
        <v>2016</v>
      </c>
      <c r="E48" t="s">
        <v>11</v>
      </c>
      <c r="F48" s="8">
        <f t="shared" ca="1" si="0"/>
        <v>0.97760502591875564</v>
      </c>
      <c r="G48">
        <f ca="1">IF($A$1=0,"",ROUND(_xlfn.NORM.INV(טבלה1[[#This Row],[Rand]],A0+Trend*(ROW()-1),Std)*INDEX(SeasonalityTable,Seasonality,MATCH(טבלה1[[#This Row],[Month]],Months,0)),0))</f>
        <v>472</v>
      </c>
      <c r="H48">
        <f t="shared" si="10"/>
        <v>464.17980000000006</v>
      </c>
      <c r="I48">
        <f ca="1">טבלה1[[#This Row],[Demand]]-טבלה1[[#This Row],[est]]</f>
        <v>7.820199999999943</v>
      </c>
      <c r="L48" t="s">
        <v>9</v>
      </c>
      <c r="M48">
        <v>388</v>
      </c>
    </row>
    <row r="49" spans="4:13" x14ac:dyDescent="0.2">
      <c r="D49">
        <f t="shared" si="4"/>
        <v>2016</v>
      </c>
      <c r="E49" t="s">
        <v>12</v>
      </c>
      <c r="F49" s="8">
        <f t="shared" ca="1" si="0"/>
        <v>0.92959714693032369</v>
      </c>
      <c r="G49">
        <f ca="1">IF($A$1=0,"",ROUND(_xlfn.NORM.INV(טבלה1[[#This Row],[Rand]],A0+Trend*(ROW()-1),Std)*INDEX(SeasonalityTable,Seasonality,MATCH(טבלה1[[#This Row],[Month]],Months,0)),0))</f>
        <v>367</v>
      </c>
      <c r="H49">
        <f t="shared" si="10"/>
        <v>362.16320000000002</v>
      </c>
      <c r="I49">
        <f ca="1">טבלה1[[#This Row],[Demand]]-טבלה1[[#This Row],[est]]</f>
        <v>4.8367999999999824</v>
      </c>
      <c r="L49" t="s">
        <v>10</v>
      </c>
      <c r="M49">
        <v>392</v>
      </c>
    </row>
    <row r="50" spans="4:13" x14ac:dyDescent="0.2">
      <c r="D50">
        <f t="shared" si="4"/>
        <v>2017</v>
      </c>
      <c r="E50" t="s">
        <v>13</v>
      </c>
      <c r="F50" s="8">
        <f t="shared" ca="1" si="0"/>
        <v>0.2967579537305054</v>
      </c>
      <c r="G50">
        <f ca="1">IF($A$1=0,"",ROUND(_xlfn.NORM.INV(טבלה1[[#This Row],[Rand]],A0+Trend*(ROW()-1),Std)*INDEX(SeasonalityTable,Seasonality,MATCH(טבלה1[[#This Row],[Month]],Months,0)),0))</f>
        <v>473</v>
      </c>
      <c r="H50">
        <f t="shared" si="10"/>
        <v>474.94720000000007</v>
      </c>
      <c r="I50">
        <f ca="1">טבלה1[[#This Row],[Demand]]-טבלה1[[#This Row],[est]]</f>
        <v>-1.9472000000000662</v>
      </c>
      <c r="L50" t="s">
        <v>11</v>
      </c>
      <c r="M50">
        <v>465</v>
      </c>
    </row>
    <row r="51" spans="4:13" x14ac:dyDescent="0.2">
      <c r="D51">
        <f t="shared" si="4"/>
        <v>2017</v>
      </c>
      <c r="E51" t="s">
        <v>14</v>
      </c>
      <c r="F51" s="8">
        <f t="shared" ca="1" si="0"/>
        <v>0.65431032387089993</v>
      </c>
      <c r="G51">
        <f ca="1">IF($A$1=0,"",ROUND(_xlfn.NORM.INV(טבלה1[[#This Row],[Rand]],A0+Trend*(ROW()-1),Std)*INDEX(SeasonalityTable,Seasonality,MATCH(טבלה1[[#This Row],[Month]],Months,0)),0))</f>
        <v>446</v>
      </c>
      <c r="H51">
        <f t="shared" si="10"/>
        <v>444.08000000000004</v>
      </c>
      <c r="I51">
        <f ca="1">טבלה1[[#This Row],[Demand]]-טבלה1[[#This Row],[est]]</f>
        <v>1.9199999999999591</v>
      </c>
      <c r="L51" t="s">
        <v>12</v>
      </c>
      <c r="M51">
        <v>362</v>
      </c>
    </row>
    <row r="52" spans="4:13" x14ac:dyDescent="0.2">
      <c r="D52">
        <f t="shared" si="4"/>
        <v>2017</v>
      </c>
      <c r="E52" t="s">
        <v>15</v>
      </c>
      <c r="F52" s="8">
        <f t="shared" ca="1" si="0"/>
        <v>5.3807871863761791E-2</v>
      </c>
      <c r="G52">
        <f ca="1">IF($A$1=0,"",ROUND(_xlfn.NORM.INV(טבלה1[[#This Row],[Rand]],A0+Trend*(ROW()-1),Std)*INDEX(SeasonalityTable,Seasonality,MATCH(טבלה1[[#This Row],[Month]],Months,0)),0))</f>
        <v>390</v>
      </c>
      <c r="H52">
        <f t="shared" si="10"/>
        <v>395.54480000000001</v>
      </c>
      <c r="I52">
        <f ca="1">טבלה1[[#This Row],[Demand]]-טבלה1[[#This Row],[est]]</f>
        <v>-5.5448000000000093</v>
      </c>
      <c r="K52">
        <v>2017</v>
      </c>
      <c r="L52" t="s">
        <v>13</v>
      </c>
      <c r="M52">
        <v>475</v>
      </c>
    </row>
    <row r="53" spans="4:13" x14ac:dyDescent="0.2">
      <c r="D53">
        <f t="shared" si="4"/>
        <v>2017</v>
      </c>
      <c r="E53" t="s">
        <v>16</v>
      </c>
      <c r="F53" s="8">
        <f t="shared" ca="1" si="0"/>
        <v>0.19454947241399911</v>
      </c>
      <c r="G53">
        <f ca="1">IF($A$1=0,"",ROUND(_xlfn.NORM.INV(טבלה1[[#This Row],[Rand]],A0+Trend*(ROW()-1),Std)*INDEX(SeasonalityTable,Seasonality,MATCH(טבלה1[[#This Row],[Month]],Months,0)),0))</f>
        <v>468</v>
      </c>
      <c r="H53">
        <f t="shared" si="10"/>
        <v>471.83920000000001</v>
      </c>
      <c r="I53">
        <f ca="1">טבלה1[[#This Row],[Demand]]-טבלה1[[#This Row],[est]]</f>
        <v>-3.8392000000000053</v>
      </c>
      <c r="L53" t="s">
        <v>14</v>
      </c>
      <c r="M53">
        <v>442</v>
      </c>
    </row>
    <row r="54" spans="4:13" x14ac:dyDescent="0.2">
      <c r="D54">
        <f t="shared" si="4"/>
        <v>2017</v>
      </c>
      <c r="E54" t="s">
        <v>5</v>
      </c>
      <c r="F54" s="8">
        <f t="shared" ca="1" si="0"/>
        <v>0.88566151310963204</v>
      </c>
      <c r="G54">
        <f ca="1">IF($A$1=0,"",ROUND(_xlfn.NORM.INV(טבלה1[[#This Row],[Rand]],A0+Trend*(ROW()-1),Std)*INDEX(SeasonalityTable,Seasonality,MATCH(טבלה1[[#This Row],[Month]],Months,0)),0))</f>
        <v>401</v>
      </c>
      <c r="H54">
        <f t="shared" si="10"/>
        <v>396.59620000000001</v>
      </c>
      <c r="I54">
        <f ca="1">טבלה1[[#This Row],[Demand]]-טבלה1[[#This Row],[est]]</f>
        <v>4.4037999999999897</v>
      </c>
      <c r="L54" t="s">
        <v>15</v>
      </c>
      <c r="M54">
        <v>394</v>
      </c>
    </row>
    <row r="55" spans="4:13" x14ac:dyDescent="0.2">
      <c r="D55">
        <f t="shared" si="4"/>
        <v>2017</v>
      </c>
      <c r="E55" t="s">
        <v>6</v>
      </c>
      <c r="F55" s="8">
        <f t="shared" ca="1" si="0"/>
        <v>0.63109373429064164</v>
      </c>
      <c r="G55">
        <f ca="1">IF($A$1=0,"",ROUND(_xlfn.NORM.INV(טבלה1[[#This Row],[Rand]],A0+Trend*(ROW()-1),Std)*INDEX(SeasonalityTable,Seasonality,MATCH(טבלה1[[#This Row],[Month]],Months,0)),0))</f>
        <v>409</v>
      </c>
      <c r="H55">
        <f t="shared" si="10"/>
        <v>408.04679999999996</v>
      </c>
      <c r="I55">
        <f ca="1">טבלה1[[#This Row],[Demand]]-טבלה1[[#This Row],[est]]</f>
        <v>0.95320000000003802</v>
      </c>
      <c r="L55" t="s">
        <v>16</v>
      </c>
      <c r="M55">
        <v>473</v>
      </c>
    </row>
    <row r="56" spans="4:13" x14ac:dyDescent="0.2">
      <c r="D56">
        <f t="shared" si="4"/>
        <v>2017</v>
      </c>
      <c r="E56" t="s">
        <v>7</v>
      </c>
      <c r="F56" s="8">
        <f t="shared" ca="1" si="0"/>
        <v>0.42736669601754995</v>
      </c>
      <c r="G56">
        <f ca="1">IF($A$1=0,"",ROUND(_xlfn.NORM.INV(טבלה1[[#This Row],[Rand]],A0+Trend*(ROW()-1),Std)*INDEX(SeasonalityTable,Seasonality,MATCH(טבלה1[[#This Row],[Month]],Months,0)),0))</f>
        <v>445</v>
      </c>
      <c r="H56">
        <f t="shared" si="10"/>
        <v>446.11700000000002</v>
      </c>
      <c r="I56">
        <f ca="1">טבלה1[[#This Row],[Demand]]-טבלה1[[#This Row],[est]]</f>
        <v>-1.1170000000000186</v>
      </c>
      <c r="L56" t="s">
        <v>5</v>
      </c>
      <c r="M56">
        <v>396</v>
      </c>
    </row>
    <row r="57" spans="4:13" x14ac:dyDescent="0.2">
      <c r="D57">
        <f t="shared" si="4"/>
        <v>2017</v>
      </c>
      <c r="E57" t="s">
        <v>8</v>
      </c>
      <c r="F57" s="8">
        <f t="shared" ca="1" si="0"/>
        <v>0.21520227457198182</v>
      </c>
      <c r="G57">
        <f ca="1">IF($A$1=0,"",ROUND(_xlfn.NORM.INV(טבלה1[[#This Row],[Rand]],A0+Trend*(ROW()-1),Std)*INDEX(SeasonalityTable,Seasonality,MATCH(טבלה1[[#This Row],[Month]],Months,0)),0))</f>
        <v>499</v>
      </c>
      <c r="H57">
        <f t="shared" si="10"/>
        <v>502.44319999999993</v>
      </c>
      <c r="I57">
        <f ca="1">טבלה1[[#This Row],[Demand]]-טבלה1[[#This Row],[est]]</f>
        <v>-3.4431999999999334</v>
      </c>
      <c r="L57" t="s">
        <v>6</v>
      </c>
      <c r="M57">
        <v>409</v>
      </c>
    </row>
    <row r="58" spans="4:13" x14ac:dyDescent="0.2">
      <c r="D58">
        <f t="shared" si="4"/>
        <v>2017</v>
      </c>
      <c r="E58" t="s">
        <v>9</v>
      </c>
      <c r="F58" s="8">
        <f t="shared" ca="1" si="0"/>
        <v>0.23744804331882263</v>
      </c>
      <c r="G58">
        <f ca="1">IF($A$1=0,"",ROUND(_xlfn.NORM.INV(טבלה1[[#This Row],[Rand]],A0+Trend*(ROW()-1),Std)*INDEX(SeasonalityTable,Seasonality,MATCH(טבלה1[[#This Row],[Month]],Months,0)),0))</f>
        <v>418</v>
      </c>
      <c r="H58">
        <f t="shared" si="10"/>
        <v>420.72519999999997</v>
      </c>
      <c r="I58">
        <f ca="1">טבלה1[[#This Row],[Demand]]-טבלה1[[#This Row],[est]]</f>
        <v>-2.7251999999999725</v>
      </c>
      <c r="L58" t="s">
        <v>7</v>
      </c>
      <c r="M58">
        <v>439</v>
      </c>
    </row>
    <row r="59" spans="4:13" x14ac:dyDescent="0.2">
      <c r="D59">
        <f t="shared" si="4"/>
        <v>2017</v>
      </c>
      <c r="E59" t="s">
        <v>10</v>
      </c>
      <c r="F59" s="8">
        <f t="shared" ca="1" si="0"/>
        <v>0.75252493722147973</v>
      </c>
      <c r="G59">
        <f ca="1">IF($A$1=0,"",ROUND(_xlfn.NORM.INV(טבלה1[[#This Row],[Rand]],A0+Trend*(ROW()-1),Std)*INDEX(SeasonalityTable,Seasonality,MATCH(טבלה1[[#This Row],[Month]],Months,0)),0))</f>
        <v>426</v>
      </c>
      <c r="H59">
        <f t="shared" si="10"/>
        <v>423.48879999999997</v>
      </c>
      <c r="I59">
        <f ca="1">טבלה1[[#This Row],[Demand]]-טבלה1[[#This Row],[est]]</f>
        <v>2.5112000000000307</v>
      </c>
      <c r="L59" t="s">
        <v>8</v>
      </c>
      <c r="M59">
        <v>501</v>
      </c>
    </row>
    <row r="60" spans="4:13" x14ac:dyDescent="0.2">
      <c r="D60">
        <f t="shared" si="4"/>
        <v>2017</v>
      </c>
      <c r="E60" t="s">
        <v>11</v>
      </c>
      <c r="F60" s="8">
        <f t="shared" ca="1" si="0"/>
        <v>0.31420324525340215</v>
      </c>
      <c r="G60">
        <f ca="1">IF($A$1=0,"",ROUND(_xlfn.NORM.INV(טבלה1[[#This Row],[Rand]],A0+Trend*(ROW()-1),Std)*INDEX(SeasonalityTable,Seasonality,MATCH(טבלה1[[#This Row],[Month]],Months,0)),0))</f>
        <v>501</v>
      </c>
      <c r="H60">
        <f t="shared" si="10"/>
        <v>503.34060000000011</v>
      </c>
      <c r="I60">
        <f ca="1">טבלה1[[#This Row],[Demand]]-טבלה1[[#This Row],[est]]</f>
        <v>-2.3406000000001086</v>
      </c>
      <c r="L60" t="s">
        <v>9</v>
      </c>
      <c r="M60">
        <v>422</v>
      </c>
    </row>
    <row r="61" spans="4:13" x14ac:dyDescent="0.2">
      <c r="D61">
        <f t="shared" si="4"/>
        <v>2017</v>
      </c>
      <c r="E61" t="s">
        <v>12</v>
      </c>
      <c r="F61" s="8">
        <f t="shared" ca="1" si="0"/>
        <v>0.67683664540019028</v>
      </c>
      <c r="G61">
        <f ca="1">IF($A$1=0,"",ROUND(_xlfn.NORM.INV(טבלה1[[#This Row],[Rand]],A0+Trend*(ROW()-1),Std)*INDEX(SeasonalityTable,Seasonality,MATCH(טבלה1[[#This Row],[Month]],Months,0)),0))</f>
        <v>394</v>
      </c>
      <c r="H61">
        <f t="shared" si="10"/>
        <v>392.50399999999996</v>
      </c>
      <c r="I61">
        <f ca="1">טבלה1[[#This Row],[Demand]]-טבלה1[[#This Row],[est]]</f>
        <v>1.4960000000000377</v>
      </c>
      <c r="L61" t="s">
        <v>10</v>
      </c>
      <c r="M61">
        <v>418</v>
      </c>
    </row>
    <row r="62" spans="4:13" x14ac:dyDescent="0.2">
      <c r="D62">
        <f t="shared" si="4"/>
        <v>2018</v>
      </c>
      <c r="E62" t="s">
        <v>13</v>
      </c>
      <c r="F62" s="8">
        <f t="shared" ca="1" si="0"/>
        <v>8.5997286555746344E-2</v>
      </c>
      <c r="G62">
        <f ca="1">IF($A$1=0,"",ROUND(_xlfn.NORM.INV(טבלה1[[#This Row],[Rand]],A0+Trend*(ROW()-1),Std)*INDEX(SeasonalityTable,Seasonality,MATCH(טבלה1[[#This Row],[Month]],Months,0)),0))</f>
        <v>509</v>
      </c>
      <c r="H62">
        <f t="shared" si="10"/>
        <v>514.46080000000006</v>
      </c>
      <c r="I62">
        <f ca="1">טבלה1[[#This Row],[Demand]]-טבלה1[[#This Row],[est]]</f>
        <v>-5.4608000000000629</v>
      </c>
      <c r="L62" t="s">
        <v>11</v>
      </c>
      <c r="M62">
        <v>504</v>
      </c>
    </row>
    <row r="63" spans="4:13" x14ac:dyDescent="0.2">
      <c r="D63">
        <f t="shared" si="4"/>
        <v>2018</v>
      </c>
      <c r="E63" t="s">
        <v>14</v>
      </c>
      <c r="F63" s="8">
        <f t="shared" ca="1" si="0"/>
        <v>0.41869305237994769</v>
      </c>
      <c r="G63">
        <f ca="1">IF($A$1=0,"",ROUND(_xlfn.NORM.INV(טבלה1[[#This Row],[Rand]],A0+Trend*(ROW()-1),Std)*INDEX(SeasonalityTable,Seasonality,MATCH(טבלה1[[#This Row],[Month]],Months,0)),0))</f>
        <v>480</v>
      </c>
      <c r="H63">
        <f t="shared" si="10"/>
        <v>480.77119999999996</v>
      </c>
      <c r="I63">
        <f ca="1">טבלה1[[#This Row],[Demand]]-טבלה1[[#This Row],[est]]</f>
        <v>-0.7711999999999648</v>
      </c>
      <c r="L63" t="s">
        <v>12</v>
      </c>
      <c r="M63">
        <v>392</v>
      </c>
    </row>
    <row r="64" spans="4:13" x14ac:dyDescent="0.2">
      <c r="D64">
        <f t="shared" si="4"/>
        <v>2018</v>
      </c>
      <c r="E64" t="s">
        <v>15</v>
      </c>
      <c r="F64" s="8">
        <f t="shared" ca="1" si="0"/>
        <v>0.52821492545245818</v>
      </c>
      <c r="G64">
        <f ca="1">IF($A$1=0,"",ROUND(_xlfn.NORM.INV(טבלה1[[#This Row],[Rand]],A0+Trend*(ROW()-1),Std)*INDEX(SeasonalityTable,Seasonality,MATCH(טבלה1[[#This Row],[Month]],Months,0)),0))</f>
        <v>428</v>
      </c>
      <c r="H64">
        <f t="shared" si="10"/>
        <v>428.00240000000002</v>
      </c>
      <c r="I64">
        <f ca="1">טבלה1[[#This Row],[Demand]]-טבלה1[[#This Row],[est]]</f>
        <v>-2.4000000000228283E-3</v>
      </c>
      <c r="K64">
        <v>2018</v>
      </c>
      <c r="L64" t="s">
        <v>13</v>
      </c>
      <c r="M64">
        <v>509</v>
      </c>
    </row>
    <row r="65" spans="4:13" x14ac:dyDescent="0.2">
      <c r="D65">
        <f t="shared" si="4"/>
        <v>2018</v>
      </c>
      <c r="E65" t="s">
        <v>16</v>
      </c>
      <c r="F65" s="8">
        <f t="shared" ca="1" si="0"/>
        <v>0.78654698388790723</v>
      </c>
      <c r="G65">
        <f ca="1">IF($A$1=0,"",ROUND(_xlfn.NORM.INV(טבלה1[[#This Row],[Rand]],A0+Trend*(ROW()-1),Std)*INDEX(SeasonalityTable,Seasonality,MATCH(טבלה1[[#This Row],[Month]],Months,0)),0))</f>
        <v>513</v>
      </c>
      <c r="H65">
        <f t="shared" si="10"/>
        <v>510.2944</v>
      </c>
      <c r="I65">
        <f ca="1">טבלה1[[#This Row],[Demand]]-טבלה1[[#This Row],[est]]</f>
        <v>2.705600000000004</v>
      </c>
      <c r="L65" t="s">
        <v>14</v>
      </c>
      <c r="M65">
        <v>482</v>
      </c>
    </row>
    <row r="66" spans="4:13" x14ac:dyDescent="0.2">
      <c r="D66">
        <f t="shared" si="4"/>
        <v>2018</v>
      </c>
      <c r="E66" t="s">
        <v>5</v>
      </c>
      <c r="F66" s="8">
        <f t="shared" ref="F66:F121" ca="1" si="12">RAND()</f>
        <v>0.68336564129669197</v>
      </c>
      <c r="G66">
        <f ca="1">IF($A$1=0,"",ROUND(_xlfn.NORM.INV(טבלה1[[#This Row],[Rand]],A0+Trend*(ROW()-1),Std)*INDEX(SeasonalityTable,Seasonality,MATCH(טבלה1[[#This Row],[Month]],Months,0)),0))</f>
        <v>430</v>
      </c>
      <c r="H66">
        <f t="shared" ref="H66:H97" si="13">(A0+(ROW()-1)*Trend)*INDEX(SeasonalityTable,Seasonality,MOD(ROW()-2,12)+1)</f>
        <v>428.70100000000002</v>
      </c>
      <c r="I66">
        <f ca="1">טבלה1[[#This Row],[Demand]]-טבלה1[[#This Row],[est]]</f>
        <v>1.2989999999999782</v>
      </c>
      <c r="L66" t="s">
        <v>15</v>
      </c>
      <c r="M66">
        <v>426</v>
      </c>
    </row>
    <row r="67" spans="4:13" x14ac:dyDescent="0.2">
      <c r="D67">
        <f t="shared" si="4"/>
        <v>2018</v>
      </c>
      <c r="E67" t="s">
        <v>6</v>
      </c>
      <c r="F67" s="8">
        <f t="shared" ca="1" si="12"/>
        <v>5.2653436469388581E-2</v>
      </c>
      <c r="G67">
        <f ca="1">IF($A$1=0,"",ROUND(_xlfn.NORM.INV(טבלה1[[#This Row],[Rand]],A0+Trend*(ROW()-1),Std)*INDEX(SeasonalityTable,Seasonality,MATCH(טבלה1[[#This Row],[Month]],Months,0)),0))</f>
        <v>435</v>
      </c>
      <c r="H67">
        <f t="shared" si="13"/>
        <v>440.85719999999992</v>
      </c>
      <c r="I67">
        <f ca="1">טבלה1[[#This Row],[Demand]]-טבלה1[[#This Row],[est]]</f>
        <v>-5.8571999999999207</v>
      </c>
      <c r="L67" t="s">
        <v>16</v>
      </c>
      <c r="M67">
        <v>510</v>
      </c>
    </row>
    <row r="68" spans="4:13" x14ac:dyDescent="0.2">
      <c r="D68">
        <f t="shared" si="4"/>
        <v>2018</v>
      </c>
      <c r="E68" t="s">
        <v>7</v>
      </c>
      <c r="F68" s="8">
        <f t="shared" ca="1" si="12"/>
        <v>0.47101461497818031</v>
      </c>
      <c r="G68">
        <f ca="1">IF($A$1=0,"",ROUND(_xlfn.NORM.INV(טבלה1[[#This Row],[Rand]],A0+Trend*(ROW()-1),Std)*INDEX(SeasonalityTable,Seasonality,MATCH(טבלה1[[#This Row],[Month]],Months,0)),0))</f>
        <v>481</v>
      </c>
      <c r="H68">
        <f t="shared" si="13"/>
        <v>481.74980000000005</v>
      </c>
      <c r="I68">
        <f ca="1">טבלה1[[#This Row],[Demand]]-טבלה1[[#This Row],[est]]</f>
        <v>-0.7498000000000502</v>
      </c>
      <c r="L68" t="s">
        <v>5</v>
      </c>
      <c r="M68">
        <v>432</v>
      </c>
    </row>
    <row r="69" spans="4:13" x14ac:dyDescent="0.2">
      <c r="D69">
        <f t="shared" si="4"/>
        <v>2018</v>
      </c>
      <c r="E69" t="s">
        <v>8</v>
      </c>
      <c r="F69" s="8">
        <f t="shared" ca="1" si="12"/>
        <v>7.3030188317155242E-2</v>
      </c>
      <c r="G69">
        <f ca="1">IF($A$1=0,"",ROUND(_xlfn.NORM.INV(טבלה1[[#This Row],[Rand]],A0+Trend*(ROW()-1),Std)*INDEX(SeasonalityTable,Seasonality,MATCH(טבלה1[[#This Row],[Month]],Months,0)),0))</f>
        <v>536</v>
      </c>
      <c r="H69">
        <f t="shared" si="13"/>
        <v>542.30959999999993</v>
      </c>
      <c r="I69">
        <f ca="1">טבלה1[[#This Row],[Demand]]-טבלה1[[#This Row],[est]]</f>
        <v>-6.3095999999999322</v>
      </c>
      <c r="L69" t="s">
        <v>6</v>
      </c>
      <c r="M69">
        <v>435</v>
      </c>
    </row>
    <row r="70" spans="4:13" x14ac:dyDescent="0.2">
      <c r="D70">
        <f t="shared" si="4"/>
        <v>2018</v>
      </c>
      <c r="E70" t="s">
        <v>9</v>
      </c>
      <c r="F70" s="8">
        <f t="shared" ca="1" si="12"/>
        <v>9.8237789464890146E-2</v>
      </c>
      <c r="G70">
        <f ca="1">IF($A$1=0,"",ROUND(_xlfn.NORM.INV(טבלה1[[#This Row],[Rand]],A0+Trend*(ROW()-1),Std)*INDEX(SeasonalityTable,Seasonality,MATCH(טבלה1[[#This Row],[Month]],Months,0)),0))</f>
        <v>449</v>
      </c>
      <c r="H70">
        <f t="shared" si="13"/>
        <v>453.88839999999999</v>
      </c>
      <c r="I70">
        <f ca="1">טבלה1[[#This Row],[Demand]]-טבלה1[[#This Row],[est]]</f>
        <v>-4.8883999999999901</v>
      </c>
      <c r="L70" t="s">
        <v>7</v>
      </c>
      <c r="M70">
        <v>487</v>
      </c>
    </row>
    <row r="71" spans="4:13" x14ac:dyDescent="0.2">
      <c r="D71">
        <f t="shared" si="4"/>
        <v>2018</v>
      </c>
      <c r="E71" t="s">
        <v>10</v>
      </c>
      <c r="F71" s="8">
        <f t="shared" ca="1" si="12"/>
        <v>0.12961406806369058</v>
      </c>
      <c r="G71">
        <f ca="1">IF($A$1=0,"",ROUND(_xlfn.NORM.INV(טבלה1[[#This Row],[Rand]],A0+Trend*(ROW()-1),Std)*INDEX(SeasonalityTable,Seasonality,MATCH(טבלה1[[#This Row],[Month]],Months,0)),0))</f>
        <v>453</v>
      </c>
      <c r="H71">
        <f t="shared" si="13"/>
        <v>456.65199999999993</v>
      </c>
      <c r="I71">
        <f ca="1">טבלה1[[#This Row],[Demand]]-טבלה1[[#This Row],[est]]</f>
        <v>-3.65199999999993</v>
      </c>
      <c r="L71" t="s">
        <v>8</v>
      </c>
      <c r="M71">
        <v>532</v>
      </c>
    </row>
    <row r="72" spans="4:13" x14ac:dyDescent="0.2">
      <c r="D72">
        <f t="shared" si="4"/>
        <v>2018</v>
      </c>
      <c r="E72" t="s">
        <v>11</v>
      </c>
      <c r="F72" s="8">
        <f t="shared" ca="1" si="12"/>
        <v>1.3947735313213361E-2</v>
      </c>
      <c r="G72">
        <f ca="1">IF($A$1=0,"",ROUND(_xlfn.NORM.INV(טבלה1[[#This Row],[Rand]],A0+Trend*(ROW()-1),Std)*INDEX(SeasonalityTable,Seasonality,MATCH(טבלה1[[#This Row],[Month]],Months,0)),0))</f>
        <v>534</v>
      </c>
      <c r="H72">
        <f t="shared" si="13"/>
        <v>542.5014000000001</v>
      </c>
      <c r="I72">
        <f ca="1">טבלה1[[#This Row],[Demand]]-טבלה1[[#This Row],[est]]</f>
        <v>-8.5014000000001033</v>
      </c>
      <c r="L72" t="s">
        <v>9</v>
      </c>
      <c r="M72">
        <v>457</v>
      </c>
    </row>
    <row r="73" spans="4:13" x14ac:dyDescent="0.2">
      <c r="D73">
        <f t="shared" si="4"/>
        <v>2018</v>
      </c>
      <c r="E73" t="s">
        <v>12</v>
      </c>
      <c r="F73" s="8">
        <f t="shared" ca="1" si="12"/>
        <v>0.88977907391200217</v>
      </c>
      <c r="G73">
        <f ca="1">IF($A$1=0,"",ROUND(_xlfn.NORM.INV(טבלה1[[#This Row],[Rand]],A0+Trend*(ROW()-1),Std)*INDEX(SeasonalityTable,Seasonality,MATCH(טבלה1[[#This Row],[Month]],Months,0)),0))</f>
        <v>427</v>
      </c>
      <c r="H73">
        <f t="shared" si="13"/>
        <v>422.84480000000002</v>
      </c>
      <c r="I73">
        <f ca="1">טבלה1[[#This Row],[Demand]]-טבלה1[[#This Row],[est]]</f>
        <v>4.1551999999999794</v>
      </c>
      <c r="L73" t="s">
        <v>10</v>
      </c>
      <c r="M73">
        <v>460</v>
      </c>
    </row>
    <row r="74" spans="4:13" x14ac:dyDescent="0.2">
      <c r="D74">
        <f t="shared" si="4"/>
        <v>2019</v>
      </c>
      <c r="E74" t="s">
        <v>13</v>
      </c>
      <c r="F74" s="8">
        <f t="shared" ca="1" si="12"/>
        <v>0.45227192976392838</v>
      </c>
      <c r="G74">
        <f ca="1">IF($A$1=0,"",ROUND(_xlfn.NORM.INV(טבלה1[[#This Row],[Rand]],A0+Trend*(ROW()-1),Std)*INDEX(SeasonalityTable,Seasonality,MATCH(טבלה1[[#This Row],[Month]],Months,0)),0))</f>
        <v>553</v>
      </c>
      <c r="H74">
        <f t="shared" si="13"/>
        <v>553.97440000000006</v>
      </c>
      <c r="I74">
        <f ca="1">טבלה1[[#This Row],[Demand]]-טבלה1[[#This Row],[est]]</f>
        <v>-0.97440000000005966</v>
      </c>
      <c r="L74" t="s">
        <v>11</v>
      </c>
      <c r="M74">
        <v>538</v>
      </c>
    </row>
    <row r="75" spans="4:13" x14ac:dyDescent="0.2">
      <c r="D75">
        <f t="shared" si="4"/>
        <v>2019</v>
      </c>
      <c r="E75" t="s">
        <v>14</v>
      </c>
      <c r="F75" s="8">
        <f t="shared" ca="1" si="12"/>
        <v>0.28153889637804319</v>
      </c>
      <c r="G75">
        <f ca="1">IF($A$1=0,"",ROUND(_xlfn.NORM.INV(טבלה1[[#This Row],[Rand]],A0+Trend*(ROW()-1),Std)*INDEX(SeasonalityTable,Seasonality,MATCH(טבלה1[[#This Row],[Month]],Months,0)),0))</f>
        <v>515</v>
      </c>
      <c r="H75">
        <f t="shared" si="13"/>
        <v>517.4624</v>
      </c>
      <c r="I75">
        <f ca="1">טבלה1[[#This Row],[Demand]]-טבלה1[[#This Row],[est]]</f>
        <v>-2.4624000000000024</v>
      </c>
      <c r="L75" t="s">
        <v>12</v>
      </c>
      <c r="M75">
        <v>423</v>
      </c>
    </row>
    <row r="76" spans="4:13" x14ac:dyDescent="0.2">
      <c r="D76">
        <f t="shared" si="4"/>
        <v>2019</v>
      </c>
      <c r="E76" t="s">
        <v>15</v>
      </c>
      <c r="F76" s="8">
        <f t="shared" ca="1" si="12"/>
        <v>0.47522325346749428</v>
      </c>
      <c r="G76">
        <f ca="1">IF($A$1=0,"",ROUND(_xlfn.NORM.INV(טבלה1[[#This Row],[Rand]],A0+Trend*(ROW()-1),Std)*INDEX(SeasonalityTable,Seasonality,MATCH(טבלה1[[#This Row],[Month]],Months,0)),0))</f>
        <v>460</v>
      </c>
      <c r="H76">
        <f t="shared" si="13"/>
        <v>460.46000000000004</v>
      </c>
      <c r="I76">
        <f ca="1">טבלה1[[#This Row],[Demand]]-טבלה1[[#This Row],[est]]</f>
        <v>-0.46000000000003638</v>
      </c>
      <c r="K76">
        <v>2019</v>
      </c>
      <c r="L76" t="s">
        <v>13</v>
      </c>
      <c r="M76">
        <v>552</v>
      </c>
    </row>
    <row r="77" spans="4:13" x14ac:dyDescent="0.2">
      <c r="D77">
        <f t="shared" si="4"/>
        <v>2019</v>
      </c>
      <c r="E77" t="s">
        <v>16</v>
      </c>
      <c r="F77" s="8">
        <f t="shared" ca="1" si="12"/>
        <v>0.57551133828343803</v>
      </c>
      <c r="G77">
        <f ca="1">IF($A$1=0,"",ROUND(_xlfn.NORM.INV(טבלה1[[#This Row],[Rand]],A0+Trend*(ROW()-1),Std)*INDEX(SeasonalityTable,Seasonality,MATCH(טבלה1[[#This Row],[Month]],Months,0)),0))</f>
        <v>550</v>
      </c>
      <c r="H77">
        <f t="shared" si="13"/>
        <v>548.74959999999999</v>
      </c>
      <c r="I77">
        <f ca="1">טבלה1[[#This Row],[Demand]]-טבלה1[[#This Row],[est]]</f>
        <v>1.2504000000000133</v>
      </c>
      <c r="L77" t="s">
        <v>14</v>
      </c>
      <c r="M77">
        <v>520</v>
      </c>
    </row>
    <row r="78" spans="4:13" x14ac:dyDescent="0.2">
      <c r="D78">
        <f t="shared" si="4"/>
        <v>2019</v>
      </c>
      <c r="E78" t="s">
        <v>5</v>
      </c>
      <c r="F78" s="8">
        <f t="shared" ca="1" si="12"/>
        <v>0.17717206246280248</v>
      </c>
      <c r="G78">
        <f ca="1">IF($A$1=0,"",ROUND(_xlfn.NORM.INV(טבלה1[[#This Row],[Rand]],A0+Trend*(ROW()-1),Std)*INDEX(SeasonalityTable,Seasonality,MATCH(טבלה1[[#This Row],[Month]],Months,0)),0))</f>
        <v>458</v>
      </c>
      <c r="H78">
        <f t="shared" si="13"/>
        <v>460.80580000000003</v>
      </c>
      <c r="I78">
        <f ca="1">טבלה1[[#This Row],[Demand]]-טבלה1[[#This Row],[est]]</f>
        <v>-2.8058000000000334</v>
      </c>
      <c r="L78" t="s">
        <v>15</v>
      </c>
      <c r="M78">
        <v>459</v>
      </c>
    </row>
    <row r="79" spans="4:13" x14ac:dyDescent="0.2">
      <c r="D79">
        <f t="shared" ref="D79:D121" si="14">D67+1</f>
        <v>2019</v>
      </c>
      <c r="E79" t="s">
        <v>6</v>
      </c>
      <c r="F79" s="8">
        <f t="shared" ca="1" si="12"/>
        <v>0.13058368021448796</v>
      </c>
      <c r="G79">
        <f ca="1">IF($A$1=0,"",ROUND(_xlfn.NORM.INV(טבלה1[[#This Row],[Rand]],A0+Trend*(ROW()-1),Std)*INDEX(SeasonalityTable,Seasonality,MATCH(טבלה1[[#This Row],[Month]],Months,0)),0))</f>
        <v>470</v>
      </c>
      <c r="H79">
        <f t="shared" si="13"/>
        <v>473.66759999999994</v>
      </c>
      <c r="I79">
        <f ca="1">טבלה1[[#This Row],[Demand]]-טבלה1[[#This Row],[est]]</f>
        <v>-3.6675999999999362</v>
      </c>
      <c r="L79" t="s">
        <v>16</v>
      </c>
      <c r="M79">
        <v>551</v>
      </c>
    </row>
    <row r="80" spans="4:13" x14ac:dyDescent="0.2">
      <c r="D80">
        <f t="shared" si="14"/>
        <v>2019</v>
      </c>
      <c r="E80" t="s">
        <v>7</v>
      </c>
      <c r="F80" s="8">
        <f t="shared" ca="1" si="12"/>
        <v>0.65078615125263972</v>
      </c>
      <c r="G80">
        <f ca="1">IF($A$1=0,"",ROUND(_xlfn.NORM.INV(טבלה1[[#This Row],[Rand]],A0+Trend*(ROW()-1),Std)*INDEX(SeasonalityTable,Seasonality,MATCH(טבלה1[[#This Row],[Month]],Months,0)),0))</f>
        <v>519</v>
      </c>
      <c r="H80">
        <f t="shared" si="13"/>
        <v>517.38260000000002</v>
      </c>
      <c r="I80">
        <f ca="1">טבלה1[[#This Row],[Demand]]-טבלה1[[#This Row],[est]]</f>
        <v>1.6173999999999751</v>
      </c>
      <c r="L80" t="s">
        <v>5</v>
      </c>
      <c r="M80">
        <v>465</v>
      </c>
    </row>
    <row r="81" spans="4:13" x14ac:dyDescent="0.2">
      <c r="D81">
        <f t="shared" si="14"/>
        <v>2019</v>
      </c>
      <c r="E81" t="s">
        <v>8</v>
      </c>
      <c r="F81" s="8">
        <f t="shared" ca="1" si="12"/>
        <v>0.87651343939476767</v>
      </c>
      <c r="G81">
        <f ca="1">IF($A$1=0,"",ROUND(_xlfn.NORM.INV(טבלה1[[#This Row],[Rand]],A0+Trend*(ROW()-1),Std)*INDEX(SeasonalityTable,Seasonality,MATCH(טבלה1[[#This Row],[Month]],Months,0)),0))</f>
        <v>587</v>
      </c>
      <c r="H81">
        <f t="shared" si="13"/>
        <v>582.17600000000004</v>
      </c>
      <c r="I81">
        <f ca="1">טבלה1[[#This Row],[Demand]]-טבלה1[[#This Row],[est]]</f>
        <v>4.8239999999999554</v>
      </c>
      <c r="L81" t="s">
        <v>6</v>
      </c>
      <c r="M81">
        <v>472</v>
      </c>
    </row>
    <row r="82" spans="4:13" x14ac:dyDescent="0.2">
      <c r="D82">
        <f t="shared" si="14"/>
        <v>2019</v>
      </c>
      <c r="E82" t="s">
        <v>9</v>
      </c>
      <c r="F82" s="8">
        <f t="shared" ca="1" si="12"/>
        <v>0.21338733602344484</v>
      </c>
      <c r="G82">
        <f ca="1">IF($A$1=0,"",ROUND(_xlfn.NORM.INV(טבלה1[[#This Row],[Rand]],A0+Trend*(ROW()-1),Std)*INDEX(SeasonalityTable,Seasonality,MATCH(טבלה1[[#This Row],[Month]],Months,0)),0))</f>
        <v>484</v>
      </c>
      <c r="H82">
        <f t="shared" si="13"/>
        <v>487.05159999999995</v>
      </c>
      <c r="I82">
        <f ca="1">טבלה1[[#This Row],[Demand]]-טבלה1[[#This Row],[est]]</f>
        <v>-3.0515999999999508</v>
      </c>
      <c r="L82" t="s">
        <v>7</v>
      </c>
      <c r="M82">
        <v>515</v>
      </c>
    </row>
    <row r="83" spans="4:13" x14ac:dyDescent="0.2">
      <c r="D83">
        <f t="shared" si="14"/>
        <v>2019</v>
      </c>
      <c r="E83" t="s">
        <v>10</v>
      </c>
      <c r="F83" s="8">
        <f t="shared" ca="1" si="12"/>
        <v>9.0682761651719401E-2</v>
      </c>
      <c r="G83">
        <f ca="1">IF($A$1=0,"",ROUND(_xlfn.NORM.INV(טבלה1[[#This Row],[Rand]],A0+Trend*(ROW()-1),Std)*INDEX(SeasonalityTable,Seasonality,MATCH(טבלה1[[#This Row],[Month]],Months,0)),0))</f>
        <v>485</v>
      </c>
      <c r="H83">
        <f t="shared" si="13"/>
        <v>489.81519999999989</v>
      </c>
      <c r="I83">
        <f ca="1">טבלה1[[#This Row],[Demand]]-טבלה1[[#This Row],[est]]</f>
        <v>-4.8151999999998907</v>
      </c>
      <c r="L83" t="s">
        <v>8</v>
      </c>
      <c r="M83">
        <v>582</v>
      </c>
    </row>
    <row r="84" spans="4:13" x14ac:dyDescent="0.2">
      <c r="D84">
        <f t="shared" si="14"/>
        <v>2019</v>
      </c>
      <c r="E84" t="s">
        <v>11</v>
      </c>
      <c r="F84" s="8">
        <f t="shared" ca="1" si="12"/>
        <v>0.72020760998891298</v>
      </c>
      <c r="G84">
        <f ca="1">IF($A$1=0,"",ROUND(_xlfn.NORM.INV(טבלה1[[#This Row],[Rand]],A0+Trend*(ROW()-1),Std)*INDEX(SeasonalityTable,Seasonality,MATCH(טבלה1[[#This Row],[Month]],Months,0)),0))</f>
        <v>584</v>
      </c>
      <c r="H84">
        <f t="shared" si="13"/>
        <v>581.66219999999998</v>
      </c>
      <c r="I84">
        <f ca="1">טבלה1[[#This Row],[Demand]]-טבלה1[[#This Row],[est]]</f>
        <v>2.3378000000000156</v>
      </c>
      <c r="L84" t="s">
        <v>9</v>
      </c>
      <c r="M84">
        <v>493</v>
      </c>
    </row>
    <row r="85" spans="4:13" x14ac:dyDescent="0.2">
      <c r="D85">
        <f t="shared" si="14"/>
        <v>2019</v>
      </c>
      <c r="E85" t="s">
        <v>12</v>
      </c>
      <c r="F85" s="8">
        <f t="shared" ca="1" si="12"/>
        <v>0.15627746121757513</v>
      </c>
      <c r="G85">
        <f ca="1">IF($A$1=0,"",ROUND(_xlfn.NORM.INV(טבלה1[[#This Row],[Rand]],A0+Trend*(ROW()-1),Std)*INDEX(SeasonalityTable,Seasonality,MATCH(טבלה1[[#This Row],[Month]],Months,0)),0))</f>
        <v>450</v>
      </c>
      <c r="H85">
        <f t="shared" si="13"/>
        <v>453.18560000000002</v>
      </c>
      <c r="I85">
        <f ca="1">טבלה1[[#This Row],[Demand]]-טבלה1[[#This Row],[est]]</f>
        <v>-3.1856000000000222</v>
      </c>
      <c r="L85" t="s">
        <v>10</v>
      </c>
      <c r="M85">
        <v>488</v>
      </c>
    </row>
    <row r="86" spans="4:13" x14ac:dyDescent="0.2">
      <c r="D86">
        <f t="shared" si="14"/>
        <v>2020</v>
      </c>
      <c r="E86" t="s">
        <v>13</v>
      </c>
      <c r="F86" s="8">
        <f t="shared" ca="1" si="12"/>
        <v>0.81947302682385781</v>
      </c>
      <c r="G86">
        <f ca="1">IF($A$1=0,"",ROUND(_xlfn.NORM.INV(טבלה1[[#This Row],[Rand]],A0+Trend*(ROW()-1),Std)*INDEX(SeasonalityTable,Seasonality,MATCH(טבלה1[[#This Row],[Month]],Months,0)),0))</f>
        <v>597</v>
      </c>
      <c r="H86">
        <f t="shared" si="13"/>
        <v>593.48800000000006</v>
      </c>
      <c r="I86">
        <f ca="1">טבלה1[[#This Row],[Demand]]-טבלה1[[#This Row],[est]]</f>
        <v>3.5119999999999436</v>
      </c>
      <c r="L86" t="s">
        <v>11</v>
      </c>
      <c r="M86">
        <v>580</v>
      </c>
    </row>
    <row r="87" spans="4:13" x14ac:dyDescent="0.2">
      <c r="D87">
        <f t="shared" si="14"/>
        <v>2020</v>
      </c>
      <c r="E87" t="s">
        <v>14</v>
      </c>
      <c r="F87" s="8">
        <f t="shared" ca="1" si="12"/>
        <v>0.46176502583844325</v>
      </c>
      <c r="G87">
        <f ca="1">IF($A$1=0,"",ROUND(_xlfn.NORM.INV(טבלה1[[#This Row],[Rand]],A0+Trend*(ROW()-1),Std)*INDEX(SeasonalityTable,Seasonality,MATCH(טבלה1[[#This Row],[Month]],Months,0)),0))</f>
        <v>554</v>
      </c>
      <c r="H87">
        <f t="shared" si="13"/>
        <v>554.1536000000001</v>
      </c>
      <c r="I87">
        <f ca="1">טבלה1[[#This Row],[Demand]]-טבלה1[[#This Row],[est]]</f>
        <v>-0.15360000000009677</v>
      </c>
      <c r="L87" t="s">
        <v>12</v>
      </c>
      <c r="M87">
        <v>449</v>
      </c>
    </row>
    <row r="88" spans="4:13" x14ac:dyDescent="0.2">
      <c r="D88">
        <f t="shared" si="14"/>
        <v>2020</v>
      </c>
      <c r="E88" t="s">
        <v>15</v>
      </c>
      <c r="F88" s="8">
        <f t="shared" ca="1" si="12"/>
        <v>0.23085306230815694</v>
      </c>
      <c r="G88">
        <f ca="1">IF($A$1=0,"",ROUND(_xlfn.NORM.INV(טבלה1[[#This Row],[Rand]],A0+Trend*(ROW()-1),Std)*INDEX(SeasonalityTable,Seasonality,MATCH(טבלה1[[#This Row],[Month]],Months,0)),0))</f>
        <v>490</v>
      </c>
      <c r="H88">
        <f t="shared" si="13"/>
        <v>492.91759999999999</v>
      </c>
      <c r="I88">
        <f ca="1">טבלה1[[#This Row],[Demand]]-טבלה1[[#This Row],[est]]</f>
        <v>-2.9175999999999931</v>
      </c>
      <c r="K88">
        <v>2020</v>
      </c>
      <c r="L88" t="s">
        <v>13</v>
      </c>
      <c r="M88">
        <v>598</v>
      </c>
    </row>
    <row r="89" spans="4:13" x14ac:dyDescent="0.2">
      <c r="D89">
        <f t="shared" si="14"/>
        <v>2020</v>
      </c>
      <c r="E89" t="s">
        <v>16</v>
      </c>
      <c r="F89" s="8">
        <f t="shared" ca="1" si="12"/>
        <v>0.2891064320508353</v>
      </c>
      <c r="G89">
        <f ca="1">IF($A$1=0,"",ROUND(_xlfn.NORM.INV(טבלה1[[#This Row],[Rand]],A0+Trend*(ROW()-1),Std)*INDEX(SeasonalityTable,Seasonality,MATCH(טבלה1[[#This Row],[Month]],Months,0)),0))</f>
        <v>585</v>
      </c>
      <c r="H89">
        <f t="shared" si="13"/>
        <v>587.20480000000009</v>
      </c>
      <c r="I89">
        <f ca="1">טבלה1[[#This Row],[Demand]]-טבלה1[[#This Row],[est]]</f>
        <v>-2.2048000000000911</v>
      </c>
      <c r="L89" t="s">
        <v>14</v>
      </c>
      <c r="M89">
        <v>564</v>
      </c>
    </row>
    <row r="90" spans="4:13" x14ac:dyDescent="0.2">
      <c r="D90">
        <f t="shared" si="14"/>
        <v>2020</v>
      </c>
      <c r="E90" t="s">
        <v>5</v>
      </c>
      <c r="F90" s="8">
        <f t="shared" ca="1" si="12"/>
        <v>0.90074330075032116</v>
      </c>
      <c r="G90">
        <f ca="1">IF($A$1=0,"",ROUND(_xlfn.NORM.INV(טבלה1[[#This Row],[Rand]],A0+Trend*(ROW()-1),Std)*INDEX(SeasonalityTable,Seasonality,MATCH(טבלה1[[#This Row],[Month]],Months,0)),0))</f>
        <v>497</v>
      </c>
      <c r="H90">
        <f t="shared" si="13"/>
        <v>492.91059999999999</v>
      </c>
      <c r="I90">
        <f ca="1">טבלה1[[#This Row],[Demand]]-טבלה1[[#This Row],[est]]</f>
        <v>4.0894000000000119</v>
      </c>
      <c r="L90" t="s">
        <v>15</v>
      </c>
      <c r="M90">
        <v>494</v>
      </c>
    </row>
    <row r="91" spans="4:13" x14ac:dyDescent="0.2">
      <c r="D91">
        <f t="shared" si="14"/>
        <v>2020</v>
      </c>
      <c r="E91" t="s">
        <v>6</v>
      </c>
      <c r="F91" s="8">
        <f t="shared" ca="1" si="12"/>
        <v>7.946570665471997E-3</v>
      </c>
      <c r="G91">
        <f ca="1">IF($A$1=0,"",ROUND(_xlfn.NORM.INV(טבלה1[[#This Row],[Rand]],A0+Trend*(ROW()-1),Std)*INDEX(SeasonalityTable,Seasonality,MATCH(טבלה1[[#This Row],[Month]],Months,0)),0))</f>
        <v>498</v>
      </c>
      <c r="H91">
        <f t="shared" si="13"/>
        <v>506.47800000000001</v>
      </c>
      <c r="I91">
        <f ca="1">טבלה1[[#This Row],[Demand]]-טבלה1[[#This Row],[est]]</f>
        <v>-8.4780000000000086</v>
      </c>
      <c r="L91" t="s">
        <v>16</v>
      </c>
      <c r="M91">
        <v>591</v>
      </c>
    </row>
    <row r="92" spans="4:13" x14ac:dyDescent="0.2">
      <c r="D92">
        <f t="shared" si="14"/>
        <v>2020</v>
      </c>
      <c r="E92" t="s">
        <v>7</v>
      </c>
      <c r="F92" s="8">
        <f t="shared" ca="1" si="12"/>
        <v>0.79357244723528353</v>
      </c>
      <c r="G92">
        <f ca="1">IF($A$1=0,"",ROUND(_xlfn.NORM.INV(טבלה1[[#This Row],[Rand]],A0+Trend*(ROW()-1),Std)*INDEX(SeasonalityTable,Seasonality,MATCH(טבלה1[[#This Row],[Month]],Months,0)),0))</f>
        <v>556</v>
      </c>
      <c r="H92">
        <f t="shared" si="13"/>
        <v>553.0154</v>
      </c>
      <c r="I92">
        <f ca="1">טבלה1[[#This Row],[Demand]]-טבלה1[[#This Row],[est]]</f>
        <v>2.9846000000000004</v>
      </c>
      <c r="L92" t="s">
        <v>5</v>
      </c>
      <c r="M92">
        <v>490</v>
      </c>
    </row>
    <row r="93" spans="4:13" x14ac:dyDescent="0.2">
      <c r="D93">
        <f t="shared" si="14"/>
        <v>2020</v>
      </c>
      <c r="E93" t="s">
        <v>8</v>
      </c>
      <c r="F93" s="8">
        <f t="shared" ca="1" si="12"/>
        <v>0.98971024643495509</v>
      </c>
      <c r="G93">
        <f ca="1">IF($A$1=0,"",ROUND(_xlfn.NORM.INV(טבלה1[[#This Row],[Rand]],A0+Trend*(ROW()-1),Std)*INDEX(SeasonalityTable,Seasonality,MATCH(טבלה1[[#This Row],[Month]],Months,0)),0))</f>
        <v>632</v>
      </c>
      <c r="H93">
        <f t="shared" si="13"/>
        <v>622.04239999999993</v>
      </c>
      <c r="I93">
        <f ca="1">טבלה1[[#This Row],[Demand]]-טבלה1[[#This Row],[est]]</f>
        <v>9.9576000000000704</v>
      </c>
      <c r="L93" t="s">
        <v>6</v>
      </c>
      <c r="M93">
        <v>508</v>
      </c>
    </row>
    <row r="94" spans="4:13" x14ac:dyDescent="0.2">
      <c r="D94">
        <f t="shared" si="14"/>
        <v>2020</v>
      </c>
      <c r="E94" t="s">
        <v>9</v>
      </c>
      <c r="F94" s="8">
        <f t="shared" ca="1" si="12"/>
        <v>0.23064377459648044</v>
      </c>
      <c r="G94">
        <f ca="1">IF($A$1=0,"",ROUND(_xlfn.NORM.INV(טבלה1[[#This Row],[Rand]],A0+Trend*(ROW()-1),Std)*INDEX(SeasonalityTable,Seasonality,MATCH(טבלה1[[#This Row],[Month]],Months,0)),0))</f>
        <v>518</v>
      </c>
      <c r="H94">
        <f t="shared" si="13"/>
        <v>520.21480000000008</v>
      </c>
      <c r="I94">
        <f ca="1">טבלה1[[#This Row],[Demand]]-טבלה1[[#This Row],[est]]</f>
        <v>-2.214800000000082</v>
      </c>
      <c r="L94" t="s">
        <v>7</v>
      </c>
      <c r="M94">
        <v>553</v>
      </c>
    </row>
    <row r="95" spans="4:13" x14ac:dyDescent="0.2">
      <c r="D95">
        <f t="shared" si="14"/>
        <v>2020</v>
      </c>
      <c r="E95" t="s">
        <v>10</v>
      </c>
      <c r="F95" s="8">
        <f t="shared" ca="1" si="12"/>
        <v>0.42514770072675911</v>
      </c>
      <c r="G95">
        <f ca="1">IF($A$1=0,"",ROUND(_xlfn.NORM.INV(טבלה1[[#This Row],[Rand]],A0+Trend*(ROW()-1),Std)*INDEX(SeasonalityTable,Seasonality,MATCH(טבלה1[[#This Row],[Month]],Months,0)),0))</f>
        <v>522</v>
      </c>
      <c r="H95">
        <f t="shared" si="13"/>
        <v>522.97839999999997</v>
      </c>
      <c r="I95">
        <f ca="1">טבלה1[[#This Row],[Demand]]-טבלה1[[#This Row],[est]]</f>
        <v>-0.97839999999996508</v>
      </c>
      <c r="L95" t="s">
        <v>8</v>
      </c>
      <c r="M95">
        <v>624</v>
      </c>
    </row>
    <row r="96" spans="4:13" x14ac:dyDescent="0.2">
      <c r="D96">
        <f t="shared" si="14"/>
        <v>2020</v>
      </c>
      <c r="E96" t="s">
        <v>11</v>
      </c>
      <c r="F96" s="8">
        <f t="shared" ca="1" si="12"/>
        <v>0.34925160494534091</v>
      </c>
      <c r="G96">
        <f ca="1">IF($A$1=0,"",ROUND(_xlfn.NORM.INV(טבלה1[[#This Row],[Rand]],A0+Trend*(ROW()-1),Std)*INDEX(SeasonalityTable,Seasonality,MATCH(טבלה1[[#This Row],[Month]],Months,0)),0))</f>
        <v>619</v>
      </c>
      <c r="H96">
        <f t="shared" si="13"/>
        <v>620.82299999999998</v>
      </c>
      <c r="I96">
        <f ca="1">טבלה1[[#This Row],[Demand]]-טבלה1[[#This Row],[est]]</f>
        <v>-1.8229999999999791</v>
      </c>
      <c r="L96" t="s">
        <v>9</v>
      </c>
      <c r="M96">
        <v>523</v>
      </c>
    </row>
    <row r="97" spans="4:13" x14ac:dyDescent="0.2">
      <c r="D97">
        <f t="shared" si="14"/>
        <v>2020</v>
      </c>
      <c r="E97" t="s">
        <v>12</v>
      </c>
      <c r="F97" s="8">
        <f t="shared" ca="1" si="12"/>
        <v>0.24998764754049208</v>
      </c>
      <c r="G97">
        <f ca="1">IF($A$1=0,"",ROUND(_xlfn.NORM.INV(טבלה1[[#This Row],[Rand]],A0+Trend*(ROW()-1),Std)*INDEX(SeasonalityTable,Seasonality,MATCH(טבלה1[[#This Row],[Month]],Months,0)),0))</f>
        <v>481</v>
      </c>
      <c r="H97">
        <f t="shared" si="13"/>
        <v>483.52640000000002</v>
      </c>
      <c r="I97">
        <f ca="1">טבלה1[[#This Row],[Demand]]-טבלה1[[#This Row],[est]]</f>
        <v>-2.5264000000000237</v>
      </c>
      <c r="L97" t="s">
        <v>10</v>
      </c>
      <c r="M97">
        <v>526</v>
      </c>
    </row>
    <row r="98" spans="4:13" x14ac:dyDescent="0.2">
      <c r="D98">
        <f t="shared" si="14"/>
        <v>2021</v>
      </c>
      <c r="E98" t="s">
        <v>13</v>
      </c>
      <c r="F98" s="8">
        <f t="shared" ca="1" si="12"/>
        <v>0.10102607129805241</v>
      </c>
      <c r="G98">
        <f ca="1">IF($A$1=0,"",ROUND(_xlfn.NORM.INV(טבלה1[[#This Row],[Rand]],A0+Trend*(ROW()-1),Std)*INDEX(SeasonalityTable,Seasonality,MATCH(טבלה1[[#This Row],[Month]],Months,0)),0))</f>
        <v>628</v>
      </c>
      <c r="H98">
        <f t="shared" ref="H98:H121" si="15">(A0+(ROW()-1)*Trend)*INDEX(SeasonalityTable,Seasonality,MOD(ROW()-2,12)+1)</f>
        <v>633.00160000000017</v>
      </c>
      <c r="I98">
        <f ca="1">טבלה1[[#This Row],[Demand]]-טבלה1[[#This Row],[est]]</f>
        <v>-5.0016000000001668</v>
      </c>
      <c r="L98" t="s">
        <v>11</v>
      </c>
      <c r="M98">
        <v>618</v>
      </c>
    </row>
    <row r="99" spans="4:13" x14ac:dyDescent="0.2">
      <c r="D99">
        <f t="shared" si="14"/>
        <v>2021</v>
      </c>
      <c r="E99" t="s">
        <v>14</v>
      </c>
      <c r="F99" s="8">
        <f t="shared" ca="1" si="12"/>
        <v>0.79811712444403826</v>
      </c>
      <c r="G99">
        <f ca="1">IF($A$1=0,"",ROUND(_xlfn.NORM.INV(טבלה1[[#This Row],[Rand]],A0+Trend*(ROW()-1),Std)*INDEX(SeasonalityTable,Seasonality,MATCH(טבלה1[[#This Row],[Month]],Months,0)),0))</f>
        <v>594</v>
      </c>
      <c r="H99">
        <f t="shared" si="15"/>
        <v>590.84480000000008</v>
      </c>
      <c r="I99">
        <f ca="1">טבלה1[[#This Row],[Demand]]-טבלה1[[#This Row],[est]]</f>
        <v>3.1551999999999225</v>
      </c>
      <c r="L99" t="s">
        <v>12</v>
      </c>
      <c r="M99">
        <v>484</v>
      </c>
    </row>
    <row r="100" spans="4:13" x14ac:dyDescent="0.2">
      <c r="D100">
        <f t="shared" si="14"/>
        <v>2021</v>
      </c>
      <c r="E100" t="s">
        <v>15</v>
      </c>
      <c r="F100" s="8">
        <f t="shared" ca="1" si="12"/>
        <v>0.23154714621924899</v>
      </c>
      <c r="G100">
        <f ca="1">IF($A$1=0,"",ROUND(_xlfn.NORM.INV(טבלה1[[#This Row],[Rand]],A0+Trend*(ROW()-1),Std)*INDEX(SeasonalityTable,Seasonality,MATCH(טבלה1[[#This Row],[Month]],Months,0)),0))</f>
        <v>523</v>
      </c>
      <c r="H100">
        <f t="shared" si="15"/>
        <v>525.37519999999995</v>
      </c>
      <c r="I100">
        <f ca="1">טבלה1[[#This Row],[Demand]]-טבלה1[[#This Row],[est]]</f>
        <v>-2.3751999999999498</v>
      </c>
      <c r="K100">
        <v>2021</v>
      </c>
      <c r="L100" t="s">
        <v>13</v>
      </c>
      <c r="M100">
        <v>629</v>
      </c>
    </row>
    <row r="101" spans="4:13" x14ac:dyDescent="0.2">
      <c r="D101">
        <f t="shared" si="14"/>
        <v>2021</v>
      </c>
      <c r="E101" t="s">
        <v>16</v>
      </c>
      <c r="F101" s="8">
        <f t="shared" ca="1" si="12"/>
        <v>0.12296163250774805</v>
      </c>
      <c r="G101">
        <f ca="1">IF($A$1=0,"",ROUND(_xlfn.NORM.INV(טבלה1[[#This Row],[Rand]],A0+Trend*(ROW()-1),Std)*INDEX(SeasonalityTable,Seasonality,MATCH(טבלה1[[#This Row],[Month]],Months,0)),0))</f>
        <v>621</v>
      </c>
      <c r="H101">
        <f t="shared" si="15"/>
        <v>625.66000000000008</v>
      </c>
      <c r="I101">
        <f ca="1">טבלה1[[#This Row],[Demand]]-טבלה1[[#This Row],[est]]</f>
        <v>-4.6600000000000819</v>
      </c>
      <c r="L101" t="s">
        <v>14</v>
      </c>
      <c r="M101">
        <v>582</v>
      </c>
    </row>
    <row r="102" spans="4:13" x14ac:dyDescent="0.2">
      <c r="D102">
        <f t="shared" si="14"/>
        <v>2021</v>
      </c>
      <c r="E102" t="s">
        <v>5</v>
      </c>
      <c r="F102" s="8">
        <f t="shared" ca="1" si="12"/>
        <v>0.86009567863833147</v>
      </c>
      <c r="G102">
        <f ca="1">IF($A$1=0,"",ROUND(_xlfn.NORM.INV(טבלה1[[#This Row],[Rand]],A0+Trend*(ROW()-1),Std)*INDEX(SeasonalityTable,Seasonality,MATCH(טבלה1[[#This Row],[Month]],Months,0)),0))</f>
        <v>529</v>
      </c>
      <c r="H102">
        <f t="shared" si="15"/>
        <v>525.01540000000011</v>
      </c>
      <c r="I102">
        <f ca="1">טבלה1[[#This Row],[Demand]]-טבלה1[[#This Row],[est]]</f>
        <v>3.9845999999998867</v>
      </c>
      <c r="L102" t="s">
        <v>15</v>
      </c>
      <c r="M102">
        <v>528</v>
      </c>
    </row>
    <row r="103" spans="4:13" x14ac:dyDescent="0.2">
      <c r="D103">
        <f t="shared" si="14"/>
        <v>2021</v>
      </c>
      <c r="E103" t="s">
        <v>6</v>
      </c>
      <c r="F103" s="8">
        <f t="shared" ca="1" si="12"/>
        <v>0.7424718167918517</v>
      </c>
      <c r="G103">
        <f ca="1">IF($A$1=0,"",ROUND(_xlfn.NORM.INV(טבלה1[[#This Row],[Rand]],A0+Trend*(ROW()-1),Std)*INDEX(SeasonalityTable,Seasonality,MATCH(טבלה1[[#This Row],[Month]],Months,0)),0))</f>
        <v>542</v>
      </c>
      <c r="H103">
        <f t="shared" si="15"/>
        <v>539.28839999999991</v>
      </c>
      <c r="I103">
        <f ca="1">טבלה1[[#This Row],[Demand]]-טבלה1[[#This Row],[est]]</f>
        <v>2.7116000000000895</v>
      </c>
      <c r="L103" t="s">
        <v>16</v>
      </c>
      <c r="M103">
        <v>628</v>
      </c>
    </row>
    <row r="104" spans="4:13" x14ac:dyDescent="0.2">
      <c r="D104">
        <f t="shared" si="14"/>
        <v>2021</v>
      </c>
      <c r="E104" t="s">
        <v>7</v>
      </c>
      <c r="F104" s="8">
        <f t="shared" ca="1" si="12"/>
        <v>0.90400060497918899</v>
      </c>
      <c r="G104">
        <f ca="1">IF($A$1=0,"",ROUND(_xlfn.NORM.INV(טבלה1[[#This Row],[Rand]],A0+Trend*(ROW()-1),Std)*INDEX(SeasonalityTable,Seasonality,MATCH(טבלה1[[#This Row],[Month]],Months,0)),0))</f>
        <v>593</v>
      </c>
      <c r="H104">
        <f t="shared" si="15"/>
        <v>588.64819999999997</v>
      </c>
      <c r="I104">
        <f ca="1">טבלה1[[#This Row],[Demand]]-טבלה1[[#This Row],[est]]</f>
        <v>4.3518000000000256</v>
      </c>
      <c r="L104" t="s">
        <v>5</v>
      </c>
      <c r="M104">
        <v>529</v>
      </c>
    </row>
    <row r="105" spans="4:13" x14ac:dyDescent="0.2">
      <c r="D105">
        <f t="shared" si="14"/>
        <v>2021</v>
      </c>
      <c r="E105" t="s">
        <v>8</v>
      </c>
      <c r="F105" s="8">
        <f t="shared" ca="1" si="12"/>
        <v>0.96215386692004123</v>
      </c>
      <c r="G105">
        <f ca="1">IF($A$1=0,"",ROUND(_xlfn.NORM.INV(טבלה1[[#This Row],[Rand]],A0+Trend*(ROW()-1),Std)*INDEX(SeasonalityTable,Seasonality,MATCH(טבלה1[[#This Row],[Month]],Months,0)),0))</f>
        <v>669</v>
      </c>
      <c r="H105">
        <f t="shared" si="15"/>
        <v>661.90879999999993</v>
      </c>
      <c r="I105">
        <f ca="1">טבלה1[[#This Row],[Demand]]-טבלה1[[#This Row],[est]]</f>
        <v>7.0912000000000717</v>
      </c>
      <c r="L105" t="s">
        <v>6</v>
      </c>
      <c r="M105">
        <v>543</v>
      </c>
    </row>
    <row r="106" spans="4:13" x14ac:dyDescent="0.2">
      <c r="D106">
        <f t="shared" si="14"/>
        <v>2021</v>
      </c>
      <c r="E106" t="s">
        <v>9</v>
      </c>
      <c r="F106" s="8">
        <f t="shared" ca="1" si="12"/>
        <v>0.98462656520418468</v>
      </c>
      <c r="G106">
        <f ca="1">IF($A$1=0,"",ROUND(_xlfn.NORM.INV(טבלה1[[#This Row],[Rand]],A0+Trend*(ROW()-1),Std)*INDEX(SeasonalityTable,Seasonality,MATCH(טבלה1[[#This Row],[Month]],Months,0)),0))</f>
        <v>561</v>
      </c>
      <c r="H106">
        <f t="shared" si="15"/>
        <v>553.37800000000004</v>
      </c>
      <c r="I106">
        <f ca="1">טבלה1[[#This Row],[Demand]]-טבלה1[[#This Row],[est]]</f>
        <v>7.6219999999999573</v>
      </c>
      <c r="L106" t="s">
        <v>7</v>
      </c>
      <c r="M106">
        <v>591</v>
      </c>
    </row>
    <row r="107" spans="4:13" x14ac:dyDescent="0.2">
      <c r="D107">
        <f t="shared" si="14"/>
        <v>2021</v>
      </c>
      <c r="E107" t="s">
        <v>10</v>
      </c>
      <c r="F107" s="8">
        <f t="shared" ca="1" si="12"/>
        <v>0.12181205584159516</v>
      </c>
      <c r="G107">
        <f ca="1">IF($A$1=0,"",ROUND(_xlfn.NORM.INV(טבלה1[[#This Row],[Rand]],A0+Trend*(ROW()-1),Std)*INDEX(SeasonalityTable,Seasonality,MATCH(טבלה1[[#This Row],[Month]],Months,0)),0))</f>
        <v>552</v>
      </c>
      <c r="H107">
        <f t="shared" si="15"/>
        <v>556.14159999999993</v>
      </c>
      <c r="I107">
        <f ca="1">טבלה1[[#This Row],[Demand]]-טבלה1[[#This Row],[est]]</f>
        <v>-4.1415999999999258</v>
      </c>
      <c r="L107" t="s">
        <v>8</v>
      </c>
      <c r="M107">
        <v>661</v>
      </c>
    </row>
    <row r="108" spans="4:13" x14ac:dyDescent="0.2">
      <c r="D108">
        <f t="shared" si="14"/>
        <v>2021</v>
      </c>
      <c r="E108" t="s">
        <v>11</v>
      </c>
      <c r="F108" s="8">
        <f t="shared" ca="1" si="12"/>
        <v>0.53399006372348012</v>
      </c>
      <c r="G108">
        <f ca="1">IF($A$1=0,"",ROUND(_xlfn.NORM.INV(טבלה1[[#This Row],[Rand]],A0+Trend*(ROW()-1),Std)*INDEX(SeasonalityTable,Seasonality,MATCH(טבלה1[[#This Row],[Month]],Months,0)),0))</f>
        <v>660</v>
      </c>
      <c r="H108">
        <f t="shared" si="15"/>
        <v>659.98379999999997</v>
      </c>
      <c r="I108">
        <f ca="1">טבלה1[[#This Row],[Demand]]-טבלה1[[#This Row],[est]]</f>
        <v>1.6200000000026193E-2</v>
      </c>
      <c r="L108" t="s">
        <v>9</v>
      </c>
      <c r="M108">
        <v>549</v>
      </c>
    </row>
    <row r="109" spans="4:13" x14ac:dyDescent="0.2">
      <c r="D109">
        <f t="shared" si="14"/>
        <v>2021</v>
      </c>
      <c r="E109" t="s">
        <v>12</v>
      </c>
      <c r="F109" s="8">
        <f t="shared" ca="1" si="12"/>
        <v>0.84219882056775786</v>
      </c>
      <c r="G109">
        <f ca="1">IF($A$1=0,"",ROUND(_xlfn.NORM.INV(טבלה1[[#This Row],[Rand]],A0+Trend*(ROW()-1),Std)*INDEX(SeasonalityTable,Seasonality,MATCH(טבלה1[[#This Row],[Month]],Months,0)),0))</f>
        <v>517</v>
      </c>
      <c r="H109">
        <f t="shared" si="15"/>
        <v>513.86720000000003</v>
      </c>
      <c r="I109">
        <f ca="1">טבלה1[[#This Row],[Demand]]-טבלה1[[#This Row],[est]]</f>
        <v>3.1327999999999747</v>
      </c>
      <c r="L109" t="s">
        <v>10</v>
      </c>
      <c r="M109">
        <v>558</v>
      </c>
    </row>
    <row r="110" spans="4:13" x14ac:dyDescent="0.2">
      <c r="D110">
        <f t="shared" si="14"/>
        <v>2022</v>
      </c>
      <c r="E110" t="s">
        <v>13</v>
      </c>
      <c r="F110" s="8">
        <f t="shared" ca="1" si="12"/>
        <v>0.5013636768715487</v>
      </c>
      <c r="G110">
        <f ca="1">IF($A$1=0,"",ROUND(_xlfn.NORM.INV(טבלה1[[#This Row],[Rand]],A0+Trend*(ROW()-1),Std)*INDEX(SeasonalityTable,Seasonality,MATCH(טבלה1[[#This Row],[Month]],Months,0)),0))</f>
        <v>673</v>
      </c>
      <c r="H110">
        <f t="shared" si="15"/>
        <v>672.51520000000005</v>
      </c>
      <c r="I110">
        <f ca="1">טבלה1[[#This Row],[Demand]]-טבלה1[[#This Row],[est]]</f>
        <v>0.48479999999995016</v>
      </c>
      <c r="L110" t="s">
        <v>11</v>
      </c>
      <c r="M110">
        <v>659</v>
      </c>
    </row>
    <row r="111" spans="4:13" x14ac:dyDescent="0.2">
      <c r="D111">
        <f t="shared" si="14"/>
        <v>2022</v>
      </c>
      <c r="E111" t="s">
        <v>14</v>
      </c>
      <c r="F111" s="8">
        <f t="shared" ca="1" si="12"/>
        <v>0.35150755778147136</v>
      </c>
      <c r="G111">
        <f ca="1">IF($A$1=0,"",ROUND(_xlfn.NORM.INV(טבלה1[[#This Row],[Rand]],A0+Trend*(ROW()-1),Std)*INDEX(SeasonalityTable,Seasonality,MATCH(טבלה1[[#This Row],[Month]],Months,0)),0))</f>
        <v>626</v>
      </c>
      <c r="H111">
        <f t="shared" si="15"/>
        <v>627.53599999999994</v>
      </c>
      <c r="I111">
        <f ca="1">טבלה1[[#This Row],[Demand]]-טבלה1[[#This Row],[est]]</f>
        <v>-1.5359999999999445</v>
      </c>
      <c r="L111" t="s">
        <v>12</v>
      </c>
      <c r="M111">
        <v>511</v>
      </c>
    </row>
    <row r="112" spans="4:13" x14ac:dyDescent="0.2">
      <c r="D112">
        <f t="shared" si="14"/>
        <v>2022</v>
      </c>
      <c r="E112" t="s">
        <v>15</v>
      </c>
      <c r="F112" s="8">
        <f t="shared" ca="1" si="12"/>
        <v>4.9893512880135882E-2</v>
      </c>
      <c r="G112">
        <f ca="1">IF($A$1=0,"",ROUND(_xlfn.NORM.INV(טבלה1[[#This Row],[Rand]],A0+Trend*(ROW()-1),Std)*INDEX(SeasonalityTable,Seasonality,MATCH(טבלה1[[#This Row],[Month]],Months,0)),0))</f>
        <v>552</v>
      </c>
      <c r="H112">
        <f t="shared" si="15"/>
        <v>557.83279999999991</v>
      </c>
      <c r="I112">
        <f ca="1">טבלה1[[#This Row],[Demand]]-טבלה1[[#This Row],[est]]</f>
        <v>-5.8327999999999065</v>
      </c>
      <c r="K112">
        <v>2022</v>
      </c>
      <c r="L112" t="s">
        <v>13</v>
      </c>
      <c r="M112">
        <v>669</v>
      </c>
    </row>
    <row r="113" spans="4:13" x14ac:dyDescent="0.2">
      <c r="D113">
        <f t="shared" si="14"/>
        <v>2022</v>
      </c>
      <c r="E113" t="s">
        <v>16</v>
      </c>
      <c r="F113" s="8">
        <f t="shared" ca="1" si="12"/>
        <v>0.46494570584922457</v>
      </c>
      <c r="G113">
        <f ca="1">IF($A$1=0,"",ROUND(_xlfn.NORM.INV(טבלה1[[#This Row],[Rand]],A0+Trend*(ROW()-1),Std)*INDEX(SeasonalityTable,Seasonality,MATCH(טבלה1[[#This Row],[Month]],Months,0)),0))</f>
        <v>664</v>
      </c>
      <c r="H113">
        <f t="shared" si="15"/>
        <v>664.11520000000007</v>
      </c>
      <c r="I113">
        <f ca="1">טבלה1[[#This Row],[Demand]]-טבלה1[[#This Row],[est]]</f>
        <v>-0.11520000000007258</v>
      </c>
      <c r="L113" t="s">
        <v>14</v>
      </c>
      <c r="M113">
        <v>627</v>
      </c>
    </row>
    <row r="114" spans="4:13" x14ac:dyDescent="0.2">
      <c r="D114">
        <f t="shared" si="14"/>
        <v>2022</v>
      </c>
      <c r="E114" t="s">
        <v>5</v>
      </c>
      <c r="F114" s="8">
        <f t="shared" ca="1" si="12"/>
        <v>0.71303992804804961</v>
      </c>
      <c r="G114">
        <f ca="1">IF($A$1=0,"",ROUND(_xlfn.NORM.INV(טבלה1[[#This Row],[Rand]],A0+Trend*(ROW()-1),Std)*INDEX(SeasonalityTable,Seasonality,MATCH(טבלה1[[#This Row],[Month]],Months,0)),0))</f>
        <v>559</v>
      </c>
      <c r="H114">
        <f t="shared" si="15"/>
        <v>557.12020000000007</v>
      </c>
      <c r="I114">
        <f ca="1">טבלה1[[#This Row],[Demand]]-טבלה1[[#This Row],[est]]</f>
        <v>1.879799999999932</v>
      </c>
      <c r="L114" t="s">
        <v>15</v>
      </c>
      <c r="M114">
        <v>553</v>
      </c>
    </row>
    <row r="115" spans="4:13" x14ac:dyDescent="0.2">
      <c r="D115">
        <f t="shared" si="14"/>
        <v>2022</v>
      </c>
      <c r="E115" t="s">
        <v>6</v>
      </c>
      <c r="F115" s="8">
        <f t="shared" ca="1" si="12"/>
        <v>0.68088317866503734</v>
      </c>
      <c r="G115">
        <f ca="1">IF($A$1=0,"",ROUND(_xlfn.NORM.INV(טבלה1[[#This Row],[Rand]],A0+Trend*(ROW()-1),Std)*INDEX(SeasonalityTable,Seasonality,MATCH(טבלה1[[#This Row],[Month]],Months,0)),0))</f>
        <v>574</v>
      </c>
      <c r="H115">
        <f t="shared" si="15"/>
        <v>572.09879999999998</v>
      </c>
      <c r="I115">
        <f ca="1">טבלה1[[#This Row],[Demand]]-טבלה1[[#This Row],[est]]</f>
        <v>1.9012000000000171</v>
      </c>
      <c r="L115" t="s">
        <v>16</v>
      </c>
      <c r="M115">
        <v>666</v>
      </c>
    </row>
    <row r="116" spans="4:13" x14ac:dyDescent="0.2">
      <c r="D116">
        <f t="shared" si="14"/>
        <v>2022</v>
      </c>
      <c r="E116" t="s">
        <v>7</v>
      </c>
      <c r="F116" s="8">
        <f t="shared" ca="1" si="12"/>
        <v>0.12568320539355549</v>
      </c>
      <c r="G116">
        <f ca="1">IF($A$1=0,"",ROUND(_xlfn.NORM.INV(טבלה1[[#This Row],[Rand]],A0+Trend*(ROW()-1),Std)*INDEX(SeasonalityTable,Seasonality,MATCH(טבלה1[[#This Row],[Month]],Months,0)),0))</f>
        <v>620</v>
      </c>
      <c r="H116">
        <f t="shared" si="15"/>
        <v>624.28099999999995</v>
      </c>
      <c r="I116">
        <f ca="1">טבלה1[[#This Row],[Demand]]-טבלה1[[#This Row],[est]]</f>
        <v>-4.2809999999999491</v>
      </c>
      <c r="L116" t="s">
        <v>5</v>
      </c>
      <c r="M116">
        <v>565</v>
      </c>
    </row>
    <row r="117" spans="4:13" x14ac:dyDescent="0.2">
      <c r="D117">
        <f t="shared" si="14"/>
        <v>2022</v>
      </c>
      <c r="E117" t="s">
        <v>8</v>
      </c>
      <c r="F117" s="8">
        <f t="shared" ca="1" si="12"/>
        <v>0.381697082953801</v>
      </c>
      <c r="G117">
        <f ca="1">IF($A$1=0,"",ROUND(_xlfn.NORM.INV(טבלה1[[#This Row],[Rand]],A0+Trend*(ROW()-1),Std)*INDEX(SeasonalityTable,Seasonality,MATCH(טבלה1[[#This Row],[Month]],Months,0)),0))</f>
        <v>701</v>
      </c>
      <c r="H117">
        <f t="shared" si="15"/>
        <v>701.77519999999993</v>
      </c>
      <c r="I117">
        <f ca="1">טבלה1[[#This Row],[Demand]]-טבלה1[[#This Row],[est]]</f>
        <v>-0.77519999999992706</v>
      </c>
      <c r="L117" t="s">
        <v>6</v>
      </c>
      <c r="M117">
        <v>574</v>
      </c>
    </row>
    <row r="118" spans="4:13" x14ac:dyDescent="0.2">
      <c r="D118">
        <f t="shared" si="14"/>
        <v>2022</v>
      </c>
      <c r="E118" t="s">
        <v>9</v>
      </c>
      <c r="F118" s="8">
        <f t="shared" ca="1" si="12"/>
        <v>9.9666073274978673E-2</v>
      </c>
      <c r="G118">
        <f ca="1">IF($A$1=0,"",ROUND(_xlfn.NORM.INV(טבלה1[[#This Row],[Rand]],A0+Trend*(ROW()-1),Std)*INDEX(SeasonalityTable,Seasonality,MATCH(טבלה1[[#This Row],[Month]],Months,0)),0))</f>
        <v>582</v>
      </c>
      <c r="H118">
        <f t="shared" si="15"/>
        <v>586.5412</v>
      </c>
      <c r="I118">
        <f ca="1">טבלה1[[#This Row],[Demand]]-טבלה1[[#This Row],[est]]</f>
        <v>-4.5412000000000035</v>
      </c>
      <c r="L118" t="s">
        <v>7</v>
      </c>
      <c r="M118">
        <v>628</v>
      </c>
    </row>
    <row r="119" spans="4:13" x14ac:dyDescent="0.2">
      <c r="D119">
        <f t="shared" si="14"/>
        <v>2022</v>
      </c>
      <c r="E119" t="s">
        <v>10</v>
      </c>
      <c r="F119" s="8">
        <f t="shared" ca="1" si="12"/>
        <v>0.50723661256110641</v>
      </c>
      <c r="G119">
        <f ca="1">IF($A$1=0,"",ROUND(_xlfn.NORM.INV(טבלה1[[#This Row],[Rand]],A0+Trend*(ROW()-1),Std)*INDEX(SeasonalityTable,Seasonality,MATCH(טבלה1[[#This Row],[Month]],Months,0)),0))</f>
        <v>589</v>
      </c>
      <c r="H119">
        <f t="shared" si="15"/>
        <v>589.3048</v>
      </c>
      <c r="I119">
        <f ca="1">טבלה1[[#This Row],[Demand]]-טבלה1[[#This Row],[est]]</f>
        <v>-0.30480000000000018</v>
      </c>
      <c r="L119" t="s">
        <v>8</v>
      </c>
      <c r="M119">
        <v>705</v>
      </c>
    </row>
    <row r="120" spans="4:13" x14ac:dyDescent="0.2">
      <c r="D120">
        <f t="shared" si="14"/>
        <v>2022</v>
      </c>
      <c r="E120" t="s">
        <v>11</v>
      </c>
      <c r="F120" s="8">
        <f t="shared" ca="1" si="12"/>
        <v>0.34458764858712232</v>
      </c>
      <c r="G120">
        <f ca="1">IF($A$1=0,"",ROUND(_xlfn.NORM.INV(טבלה1[[#This Row],[Rand]],A0+Trend*(ROW()-1),Std)*INDEX(SeasonalityTable,Seasonality,MATCH(טבלה1[[#This Row],[Month]],Months,0)),0))</f>
        <v>698</v>
      </c>
      <c r="H120">
        <f t="shared" si="15"/>
        <v>699.14460000000008</v>
      </c>
      <c r="I120">
        <f ca="1">טבלה1[[#This Row],[Demand]]-טבלה1[[#This Row],[est]]</f>
        <v>-1.1446000000000822</v>
      </c>
      <c r="L120" t="s">
        <v>9</v>
      </c>
      <c r="M120">
        <v>593</v>
      </c>
    </row>
    <row r="121" spans="4:13" x14ac:dyDescent="0.2">
      <c r="D121">
        <f t="shared" si="14"/>
        <v>2022</v>
      </c>
      <c r="E121" t="s">
        <v>12</v>
      </c>
      <c r="F121" s="8">
        <f t="shared" ca="1" si="12"/>
        <v>3.3564108293800188E-2</v>
      </c>
      <c r="G121">
        <f ca="1">IF($A$1=0,"",ROUND(_xlfn.NORM.INV(טבלה1[[#This Row],[Rand]],A0+Trend*(ROW()-1),Std)*INDEX(SeasonalityTable,Seasonality,MATCH(טבלה1[[#This Row],[Month]],Months,0)),0))</f>
        <v>538</v>
      </c>
      <c r="H121">
        <f t="shared" si="15"/>
        <v>544.20799999999997</v>
      </c>
      <c r="I121">
        <f ca="1">טבלה1[[#This Row],[Demand]]-טבלה1[[#This Row],[est]]</f>
        <v>-6.20799999999997</v>
      </c>
      <c r="L121" t="s">
        <v>10</v>
      </c>
      <c r="M121">
        <v>592</v>
      </c>
    </row>
    <row r="122" spans="4:13" x14ac:dyDescent="0.2">
      <c r="L122" t="s">
        <v>11</v>
      </c>
      <c r="M122">
        <v>690</v>
      </c>
    </row>
    <row r="123" spans="4:13" x14ac:dyDescent="0.2">
      <c r="L123" t="s">
        <v>12</v>
      </c>
      <c r="M123">
        <v>546</v>
      </c>
    </row>
  </sheetData>
  <pageMargins left="0.7" right="0.7" top="0.75" bottom="0.75" header="0.3" footer="0.3"/>
  <ignoredErrors>
    <ignoredError sqref="AB3:AB13" formulaRange="1"/>
  </ignoredErrors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AB1A1F-6706-496C-9EC7-41DC6FAB6A78}">
  <dimension ref="A1:E21"/>
  <sheetViews>
    <sheetView tabSelected="1" workbookViewId="0">
      <selection activeCell="E2" sqref="E2"/>
    </sheetView>
  </sheetViews>
  <sheetFormatPr defaultRowHeight="14.25" x14ac:dyDescent="0.2"/>
  <cols>
    <col min="4" max="4" width="14.875" customWidth="1"/>
  </cols>
  <sheetData>
    <row r="1" spans="1:5" x14ac:dyDescent="0.2">
      <c r="A1" s="10" t="s">
        <v>39</v>
      </c>
      <c r="B1" s="10" t="s">
        <v>40</v>
      </c>
      <c r="C1" s="10" t="s">
        <v>42</v>
      </c>
      <c r="D1" s="10" t="s">
        <v>43</v>
      </c>
      <c r="E1" s="11" t="s">
        <v>41</v>
      </c>
    </row>
    <row r="2" spans="1:5" x14ac:dyDescent="0.2">
      <c r="A2" s="12">
        <v>1</v>
      </c>
      <c r="B2" s="12"/>
      <c r="C2" s="12">
        <v>2</v>
      </c>
      <c r="D2" s="12" t="s">
        <v>44</v>
      </c>
      <c r="E2" s="28" t="s">
        <v>65</v>
      </c>
    </row>
    <row r="3" spans="1:5" x14ac:dyDescent="0.2">
      <c r="A3" s="12">
        <v>2</v>
      </c>
      <c r="B3" s="12"/>
      <c r="C3" s="12">
        <v>3</v>
      </c>
      <c r="D3" s="12" t="s">
        <v>45</v>
      </c>
      <c r="E3" s="40" t="s">
        <v>62</v>
      </c>
    </row>
    <row r="4" spans="1:5" x14ac:dyDescent="0.2">
      <c r="A4" s="12">
        <v>5</v>
      </c>
      <c r="B4" s="12" t="s">
        <v>47</v>
      </c>
      <c r="C4" s="12">
        <v>2</v>
      </c>
      <c r="D4" s="12" t="s">
        <v>46</v>
      </c>
      <c r="E4" s="40">
        <v>281.00970000000001</v>
      </c>
    </row>
    <row r="5" spans="1:5" x14ac:dyDescent="0.2">
      <c r="A5" s="12">
        <v>5</v>
      </c>
      <c r="B5" s="12" t="s">
        <v>48</v>
      </c>
      <c r="C5" s="12">
        <v>2</v>
      </c>
      <c r="D5" s="12" t="s">
        <v>46</v>
      </c>
      <c r="E5" s="40">
        <v>2.9188000000000001</v>
      </c>
    </row>
    <row r="6" spans="1:5" x14ac:dyDescent="0.2">
      <c r="A6" s="12">
        <v>5</v>
      </c>
      <c r="B6" s="12" t="s">
        <v>49</v>
      </c>
      <c r="C6" s="12">
        <v>2</v>
      </c>
      <c r="D6" s="12" t="s">
        <v>46</v>
      </c>
      <c r="E6" s="40">
        <v>0.84950000000000003</v>
      </c>
    </row>
    <row r="7" spans="1:5" x14ac:dyDescent="0.2">
      <c r="A7" s="12">
        <v>5</v>
      </c>
      <c r="B7" s="12" t="s">
        <v>50</v>
      </c>
      <c r="C7" s="12">
        <v>2</v>
      </c>
      <c r="D7" s="12" t="s">
        <v>46</v>
      </c>
      <c r="E7" s="40">
        <v>42.562950000000001</v>
      </c>
    </row>
    <row r="8" spans="1:5" x14ac:dyDescent="0.2">
      <c r="A8" s="12">
        <v>7</v>
      </c>
      <c r="B8" s="12" t="s">
        <v>47</v>
      </c>
      <c r="C8" s="12">
        <v>1</v>
      </c>
      <c r="D8" s="12" t="s">
        <v>46</v>
      </c>
      <c r="E8" s="40">
        <v>601.48080000000004</v>
      </c>
    </row>
    <row r="9" spans="1:5" x14ac:dyDescent="0.2">
      <c r="A9" s="12">
        <v>7</v>
      </c>
      <c r="B9" s="12" t="s">
        <v>48</v>
      </c>
      <c r="C9" s="12">
        <v>1</v>
      </c>
      <c r="D9" s="12" t="s">
        <v>46</v>
      </c>
      <c r="E9" s="40">
        <v>597.54539999999997</v>
      </c>
    </row>
    <row r="10" spans="1:5" x14ac:dyDescent="0.2">
      <c r="A10" s="12">
        <v>7</v>
      </c>
      <c r="B10" s="12" t="s">
        <v>49</v>
      </c>
      <c r="C10" s="12">
        <v>1</v>
      </c>
      <c r="D10" s="12" t="s">
        <v>46</v>
      </c>
      <c r="E10" s="40">
        <v>559.43140000000005</v>
      </c>
    </row>
    <row r="11" spans="1:5" x14ac:dyDescent="0.2">
      <c r="A11" s="12">
        <v>7</v>
      </c>
      <c r="B11" s="12" t="s">
        <v>51</v>
      </c>
      <c r="C11" s="12">
        <v>2</v>
      </c>
      <c r="D11" s="12" t="s">
        <v>46</v>
      </c>
      <c r="E11" s="40">
        <v>0.18729999999999999</v>
      </c>
    </row>
    <row r="12" spans="1:5" x14ac:dyDescent="0.2">
      <c r="A12" s="12">
        <v>7</v>
      </c>
      <c r="B12" s="12" t="s">
        <v>50</v>
      </c>
      <c r="C12" s="12">
        <v>2</v>
      </c>
      <c r="D12" s="12" t="s">
        <v>46</v>
      </c>
      <c r="E12" s="40">
        <v>48.895000000000003</v>
      </c>
    </row>
    <row r="13" spans="1:5" x14ac:dyDescent="0.2">
      <c r="A13" s="12">
        <v>8</v>
      </c>
      <c r="B13" s="12" t="s">
        <v>47</v>
      </c>
      <c r="C13" s="12">
        <v>3</v>
      </c>
      <c r="D13" s="12" t="s">
        <v>45</v>
      </c>
      <c r="E13" s="28" t="s">
        <v>63</v>
      </c>
    </row>
    <row r="14" spans="1:5" x14ac:dyDescent="0.2">
      <c r="A14" s="12">
        <v>8</v>
      </c>
      <c r="B14" s="12" t="s">
        <v>48</v>
      </c>
      <c r="C14" s="12">
        <v>2</v>
      </c>
      <c r="D14" s="12" t="s">
        <v>46</v>
      </c>
      <c r="E14" s="28">
        <v>679.29750000000001</v>
      </c>
    </row>
    <row r="15" spans="1:5" x14ac:dyDescent="0.2">
      <c r="A15" s="12">
        <v>8</v>
      </c>
      <c r="B15" s="12" t="s">
        <v>49</v>
      </c>
      <c r="C15" s="12">
        <v>2</v>
      </c>
      <c r="D15" s="12" t="s">
        <v>46</v>
      </c>
      <c r="E15" s="28">
        <v>671.50599999999997</v>
      </c>
    </row>
    <row r="16" spans="1:5" x14ac:dyDescent="0.2">
      <c r="A16" s="12">
        <v>8</v>
      </c>
      <c r="B16" s="12" t="s">
        <v>51</v>
      </c>
      <c r="C16" s="12">
        <v>2</v>
      </c>
      <c r="D16" s="12" t="s">
        <v>46</v>
      </c>
      <c r="E16" s="28">
        <v>6.7013939999999996</v>
      </c>
    </row>
    <row r="17" spans="1:5" x14ac:dyDescent="0.2">
      <c r="A17" s="12">
        <v>8</v>
      </c>
      <c r="B17" s="12" t="s">
        <v>50</v>
      </c>
      <c r="C17" s="12">
        <v>3</v>
      </c>
      <c r="D17" s="12" t="s">
        <v>46</v>
      </c>
      <c r="E17" s="40"/>
    </row>
    <row r="18" spans="1:5" x14ac:dyDescent="0.2">
      <c r="A18" s="12">
        <v>9</v>
      </c>
      <c r="B18" s="12" t="s">
        <v>48</v>
      </c>
      <c r="C18" s="12">
        <v>2</v>
      </c>
      <c r="D18" s="12" t="s">
        <v>46</v>
      </c>
      <c r="E18" s="41">
        <v>442</v>
      </c>
    </row>
    <row r="19" spans="1:5" x14ac:dyDescent="0.2">
      <c r="A19" s="12">
        <v>9</v>
      </c>
      <c r="B19" s="12" t="s">
        <v>49</v>
      </c>
      <c r="C19" s="12">
        <v>2</v>
      </c>
      <c r="D19" s="12" t="s">
        <v>46</v>
      </c>
      <c r="E19" s="41">
        <v>43.25</v>
      </c>
    </row>
    <row r="20" spans="1:5" x14ac:dyDescent="0.2">
      <c r="A20" s="12">
        <v>9</v>
      </c>
      <c r="B20" s="12" t="s">
        <v>51</v>
      </c>
      <c r="C20" s="12">
        <v>5</v>
      </c>
      <c r="D20" s="12" t="s">
        <v>52</v>
      </c>
      <c r="E20" s="28" t="s">
        <v>64</v>
      </c>
    </row>
    <row r="21" spans="1:5" x14ac:dyDescent="0.2">
      <c r="A21" s="13"/>
      <c r="B21" s="13"/>
      <c r="C21" s="13"/>
      <c r="D21" s="13"/>
    </row>
  </sheetData>
  <sheetProtection sheet="1" objects="1" scenarios="1" selectLockedCell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4BA4AE-F1F6-4FFB-AD9F-3B5EE71BF85D}">
  <dimension ref="B1:F66"/>
  <sheetViews>
    <sheetView topLeftCell="A34" zoomScale="60" zoomScaleNormal="60" workbookViewId="0">
      <selection activeCell="F50" sqref="F50"/>
    </sheetView>
  </sheetViews>
  <sheetFormatPr defaultRowHeight="14.25" x14ac:dyDescent="0.2"/>
  <cols>
    <col min="1" max="1" width="1.625" customWidth="1"/>
  </cols>
  <sheetData>
    <row r="1" spans="2:6" ht="18" x14ac:dyDescent="0.25">
      <c r="B1" s="14" t="s">
        <v>40</v>
      </c>
      <c r="C1" s="15" t="s">
        <v>53</v>
      </c>
      <c r="D1" s="16"/>
      <c r="E1" s="16"/>
      <c r="F1" s="17"/>
    </row>
    <row r="2" spans="2:6" ht="18" x14ac:dyDescent="0.25">
      <c r="B2" s="29"/>
      <c r="C2" s="30"/>
      <c r="D2" s="37"/>
      <c r="E2" s="37"/>
      <c r="F2" s="20"/>
    </row>
    <row r="3" spans="2:6" ht="18" x14ac:dyDescent="0.25">
      <c r="B3" s="18" t="s">
        <v>54</v>
      </c>
      <c r="C3" s="19">
        <v>2</v>
      </c>
      <c r="D3" s="19"/>
      <c r="E3" s="19"/>
      <c r="F3" s="38"/>
    </row>
    <row r="4" spans="2:6" ht="18" x14ac:dyDescent="0.25">
      <c r="B4" s="31"/>
      <c r="C4" s="32"/>
      <c r="D4" s="37"/>
      <c r="E4" s="37"/>
      <c r="F4" s="20"/>
    </row>
    <row r="5" spans="2:6" ht="18" x14ac:dyDescent="0.25">
      <c r="B5" s="18"/>
      <c r="C5" s="19"/>
      <c r="D5" s="37"/>
      <c r="E5" s="37"/>
      <c r="F5" s="20"/>
    </row>
    <row r="6" spans="2:6" ht="18" x14ac:dyDescent="0.25">
      <c r="B6" s="18"/>
      <c r="C6" s="19"/>
      <c r="D6" s="37"/>
      <c r="E6" s="37"/>
      <c r="F6" s="20"/>
    </row>
    <row r="7" spans="2:6" ht="18" x14ac:dyDescent="0.25">
      <c r="B7" s="18"/>
      <c r="C7" s="19"/>
      <c r="D7" s="37"/>
      <c r="E7" s="37"/>
      <c r="F7" s="20"/>
    </row>
    <row r="8" spans="2:6" ht="18" x14ac:dyDescent="0.25">
      <c r="B8" s="18"/>
      <c r="C8" s="19"/>
      <c r="D8" s="37"/>
      <c r="E8" s="37"/>
      <c r="F8" s="20"/>
    </row>
    <row r="9" spans="2:6" ht="18" x14ac:dyDescent="0.25">
      <c r="B9" s="18"/>
      <c r="C9" s="19"/>
      <c r="D9" s="37"/>
      <c r="E9" s="37"/>
      <c r="F9" s="20"/>
    </row>
    <row r="10" spans="2:6" ht="18" x14ac:dyDescent="0.25">
      <c r="B10" s="18"/>
      <c r="C10" s="19"/>
      <c r="D10" s="37"/>
      <c r="E10" s="37"/>
      <c r="F10" s="20"/>
    </row>
    <row r="11" spans="2:6" ht="18" x14ac:dyDescent="0.25">
      <c r="B11" s="18"/>
      <c r="C11" s="19"/>
      <c r="D11" s="37"/>
      <c r="E11" s="37"/>
      <c r="F11" s="20"/>
    </row>
    <row r="12" spans="2:6" ht="18" x14ac:dyDescent="0.25">
      <c r="B12" s="29"/>
      <c r="C12" s="30"/>
      <c r="D12" s="37"/>
      <c r="E12" s="37"/>
      <c r="F12" s="20"/>
    </row>
    <row r="13" spans="2:6" ht="18" x14ac:dyDescent="0.25">
      <c r="B13" s="18" t="s">
        <v>55</v>
      </c>
      <c r="C13" s="19">
        <v>2</v>
      </c>
      <c r="D13" s="19"/>
      <c r="E13" s="19"/>
      <c r="F13" s="38"/>
    </row>
    <row r="14" spans="2:6" ht="18" x14ac:dyDescent="0.25">
      <c r="B14" s="31"/>
      <c r="C14" s="32"/>
      <c r="D14" s="37"/>
      <c r="E14" s="37"/>
      <c r="F14" s="20"/>
    </row>
    <row r="15" spans="2:6" ht="18" x14ac:dyDescent="0.25">
      <c r="B15" s="18"/>
      <c r="C15" s="19"/>
      <c r="D15" s="37"/>
      <c r="E15" s="37"/>
      <c r="F15" s="20"/>
    </row>
    <row r="16" spans="2:6" ht="18" x14ac:dyDescent="0.25">
      <c r="B16" s="18"/>
      <c r="C16" s="19"/>
      <c r="D16" s="37"/>
      <c r="E16" s="37"/>
      <c r="F16" s="20"/>
    </row>
    <row r="17" spans="2:6" ht="18" x14ac:dyDescent="0.25">
      <c r="B17" s="18"/>
      <c r="C17" s="19"/>
      <c r="D17" s="37"/>
      <c r="E17" s="37"/>
      <c r="F17" s="20"/>
    </row>
    <row r="18" spans="2:6" ht="18" x14ac:dyDescent="0.25">
      <c r="B18" s="18"/>
      <c r="C18" s="19"/>
      <c r="D18" s="37"/>
      <c r="E18" s="37"/>
      <c r="F18" s="20"/>
    </row>
    <row r="19" spans="2:6" ht="18" x14ac:dyDescent="0.25">
      <c r="B19" s="18"/>
      <c r="C19" s="19"/>
      <c r="D19" s="37"/>
      <c r="E19" s="37"/>
      <c r="F19" s="20"/>
    </row>
    <row r="20" spans="2:6" ht="18" x14ac:dyDescent="0.25">
      <c r="B20" s="18"/>
      <c r="C20" s="19"/>
      <c r="D20" s="37"/>
      <c r="E20" s="37"/>
      <c r="F20" s="20"/>
    </row>
    <row r="21" spans="2:6" ht="18" x14ac:dyDescent="0.25">
      <c r="B21" s="29"/>
      <c r="C21" s="30"/>
      <c r="D21" s="37"/>
      <c r="E21" s="37"/>
      <c r="F21" s="20"/>
    </row>
    <row r="22" spans="2:6" ht="18" x14ac:dyDescent="0.25">
      <c r="B22" s="18" t="s">
        <v>56</v>
      </c>
      <c r="C22" s="19">
        <v>3</v>
      </c>
      <c r="D22" s="19"/>
      <c r="E22" s="19"/>
      <c r="F22" s="38"/>
    </row>
    <row r="23" spans="2:6" ht="18" x14ac:dyDescent="0.25">
      <c r="B23" s="31"/>
      <c r="C23" s="32"/>
      <c r="D23" s="37"/>
      <c r="E23" s="37"/>
      <c r="F23" s="20"/>
    </row>
    <row r="24" spans="2:6" ht="18" x14ac:dyDescent="0.25">
      <c r="B24" s="18"/>
      <c r="C24" s="19"/>
      <c r="D24" s="37"/>
      <c r="E24" s="37"/>
      <c r="F24" s="20"/>
    </row>
    <row r="25" spans="2:6" ht="18" x14ac:dyDescent="0.25">
      <c r="B25" s="18"/>
      <c r="C25" s="19"/>
      <c r="D25" s="37"/>
      <c r="E25" s="37"/>
      <c r="F25" s="20"/>
    </row>
    <row r="26" spans="2:6" ht="18" x14ac:dyDescent="0.25">
      <c r="B26" s="18"/>
      <c r="C26" s="19"/>
      <c r="D26" s="37"/>
      <c r="E26" s="37"/>
      <c r="F26" s="20"/>
    </row>
    <row r="27" spans="2:6" ht="18" x14ac:dyDescent="0.25">
      <c r="B27" s="18"/>
      <c r="C27" s="19"/>
      <c r="D27" s="37"/>
      <c r="E27" s="37"/>
      <c r="F27" s="20"/>
    </row>
    <row r="28" spans="2:6" ht="18" x14ac:dyDescent="0.25">
      <c r="B28" s="29"/>
      <c r="C28" s="30"/>
      <c r="D28" s="37"/>
      <c r="E28" s="37"/>
      <c r="F28" s="20"/>
    </row>
    <row r="29" spans="2:6" ht="18" x14ac:dyDescent="0.25">
      <c r="B29" s="18" t="s">
        <v>57</v>
      </c>
      <c r="C29" s="19">
        <v>2</v>
      </c>
      <c r="D29" s="19"/>
      <c r="E29" s="19"/>
      <c r="F29" s="38"/>
    </row>
    <row r="30" spans="2:6" ht="18" x14ac:dyDescent="0.25">
      <c r="B30" s="31"/>
      <c r="C30" s="32"/>
      <c r="D30" s="37"/>
      <c r="E30" s="37"/>
      <c r="F30" s="20"/>
    </row>
    <row r="31" spans="2:6" ht="18" x14ac:dyDescent="0.25">
      <c r="B31" s="18"/>
      <c r="C31" s="19"/>
      <c r="D31" s="37"/>
      <c r="E31" s="37"/>
      <c r="F31" s="20"/>
    </row>
    <row r="32" spans="2:6" ht="18" x14ac:dyDescent="0.25">
      <c r="B32" s="18"/>
      <c r="C32" s="19"/>
      <c r="D32" s="37"/>
      <c r="E32" s="37"/>
      <c r="F32" s="20"/>
    </row>
    <row r="33" spans="2:6" ht="18" x14ac:dyDescent="0.25">
      <c r="B33" s="18"/>
      <c r="C33" s="19"/>
      <c r="D33" s="37"/>
      <c r="E33" s="37"/>
      <c r="F33" s="20"/>
    </row>
    <row r="34" spans="2:6" ht="18" x14ac:dyDescent="0.25">
      <c r="B34" s="18"/>
      <c r="C34" s="19"/>
      <c r="D34" s="37"/>
      <c r="E34" s="37"/>
      <c r="F34" s="20"/>
    </row>
    <row r="35" spans="2:6" ht="18" x14ac:dyDescent="0.25">
      <c r="B35" s="29"/>
      <c r="C35" s="30"/>
      <c r="D35" s="37"/>
      <c r="E35" s="37"/>
      <c r="F35" s="20"/>
    </row>
    <row r="36" spans="2:6" ht="18" x14ac:dyDescent="0.25">
      <c r="B36" s="18" t="s">
        <v>58</v>
      </c>
      <c r="C36" s="19">
        <v>2</v>
      </c>
      <c r="D36" s="19"/>
      <c r="E36" s="19"/>
      <c r="F36" s="38"/>
    </row>
    <row r="37" spans="2:6" x14ac:dyDescent="0.2">
      <c r="B37" s="33"/>
      <c r="C37" s="34"/>
      <c r="F37" s="23"/>
    </row>
    <row r="38" spans="2:6" x14ac:dyDescent="0.2">
      <c r="B38" s="21"/>
      <c r="C38" s="22"/>
      <c r="F38" s="23"/>
    </row>
    <row r="39" spans="2:6" x14ac:dyDescent="0.2">
      <c r="B39" s="21"/>
      <c r="C39" s="22"/>
      <c r="F39" s="23"/>
    </row>
    <row r="40" spans="2:6" x14ac:dyDescent="0.2">
      <c r="B40" s="21"/>
      <c r="C40" s="22"/>
      <c r="F40" s="23"/>
    </row>
    <row r="41" spans="2:6" x14ac:dyDescent="0.2">
      <c r="B41" s="21"/>
      <c r="C41" s="22"/>
      <c r="F41" s="23"/>
    </row>
    <row r="42" spans="2:6" x14ac:dyDescent="0.2">
      <c r="B42" s="35"/>
      <c r="C42" s="36"/>
      <c r="F42" s="23"/>
    </row>
    <row r="43" spans="2:6" ht="18" x14ac:dyDescent="0.25">
      <c r="B43" s="18">
        <v>6</v>
      </c>
      <c r="C43" s="19">
        <v>5</v>
      </c>
      <c r="D43" s="22"/>
      <c r="E43" s="22"/>
      <c r="F43" s="39"/>
    </row>
    <row r="44" spans="2:6" x14ac:dyDescent="0.2">
      <c r="B44" s="33"/>
      <c r="C44" s="34"/>
      <c r="F44" s="23"/>
    </row>
    <row r="45" spans="2:6" x14ac:dyDescent="0.2">
      <c r="B45" s="21"/>
      <c r="C45" s="22"/>
      <c r="F45" s="23"/>
    </row>
    <row r="46" spans="2:6" x14ac:dyDescent="0.2">
      <c r="B46" s="21"/>
      <c r="C46" s="22"/>
      <c r="F46" s="23"/>
    </row>
    <row r="47" spans="2:6" x14ac:dyDescent="0.2">
      <c r="B47" s="21"/>
      <c r="C47" s="22"/>
      <c r="F47" s="23"/>
    </row>
    <row r="48" spans="2:6" x14ac:dyDescent="0.2">
      <c r="B48" s="21"/>
      <c r="C48" s="22"/>
      <c r="F48" s="23"/>
    </row>
    <row r="49" spans="2:6" x14ac:dyDescent="0.2">
      <c r="B49" s="35"/>
      <c r="C49" s="36"/>
      <c r="F49" s="23"/>
    </row>
    <row r="50" spans="2:6" ht="18" x14ac:dyDescent="0.25">
      <c r="B50" s="18" t="s">
        <v>59</v>
      </c>
      <c r="C50" s="19">
        <v>3</v>
      </c>
      <c r="D50" s="22"/>
      <c r="E50" s="22"/>
      <c r="F50" s="39"/>
    </row>
    <row r="51" spans="2:6" x14ac:dyDescent="0.2">
      <c r="B51" s="33"/>
      <c r="C51" s="34"/>
      <c r="F51" s="23"/>
    </row>
    <row r="52" spans="2:6" x14ac:dyDescent="0.2">
      <c r="B52" s="21"/>
      <c r="C52" s="22"/>
      <c r="F52" s="23"/>
    </row>
    <row r="53" spans="2:6" x14ac:dyDescent="0.2">
      <c r="B53" s="21"/>
      <c r="C53" s="22"/>
      <c r="F53" s="23"/>
    </row>
    <row r="54" spans="2:6" x14ac:dyDescent="0.2">
      <c r="B54" s="21"/>
      <c r="C54" s="22"/>
      <c r="F54" s="23"/>
    </row>
    <row r="55" spans="2:6" x14ac:dyDescent="0.2">
      <c r="B55" s="35"/>
      <c r="C55" s="36"/>
      <c r="F55" s="23"/>
    </row>
    <row r="56" spans="2:6" ht="18" x14ac:dyDescent="0.25">
      <c r="B56" s="18" t="s">
        <v>60</v>
      </c>
      <c r="C56" s="19">
        <v>2</v>
      </c>
      <c r="D56" s="22"/>
      <c r="E56" s="22"/>
      <c r="F56" s="39"/>
    </row>
    <row r="57" spans="2:6" x14ac:dyDescent="0.2">
      <c r="B57" s="33"/>
      <c r="C57" s="34"/>
      <c r="F57" s="23"/>
    </row>
    <row r="58" spans="2:6" x14ac:dyDescent="0.2">
      <c r="B58" s="21"/>
      <c r="C58" s="22"/>
      <c r="F58" s="23"/>
    </row>
    <row r="59" spans="2:6" x14ac:dyDescent="0.2">
      <c r="B59" s="21"/>
      <c r="C59" s="22"/>
      <c r="F59" s="23"/>
    </row>
    <row r="60" spans="2:6" x14ac:dyDescent="0.2">
      <c r="B60" s="21"/>
      <c r="C60" s="22"/>
      <c r="F60" s="23"/>
    </row>
    <row r="61" spans="2:6" x14ac:dyDescent="0.2">
      <c r="B61" s="21"/>
      <c r="C61" s="22"/>
      <c r="F61" s="23"/>
    </row>
    <row r="62" spans="2:6" x14ac:dyDescent="0.2">
      <c r="B62" s="35"/>
      <c r="C62" s="36"/>
      <c r="F62" s="23"/>
    </row>
    <row r="63" spans="2:6" ht="18" x14ac:dyDescent="0.25">
      <c r="B63" s="18" t="s">
        <v>61</v>
      </c>
      <c r="C63" s="19">
        <v>5</v>
      </c>
      <c r="D63" s="22"/>
      <c r="E63" s="22"/>
      <c r="F63" s="39"/>
    </row>
    <row r="64" spans="2:6" x14ac:dyDescent="0.2">
      <c r="B64" s="33"/>
      <c r="C64" s="34"/>
      <c r="F64" s="23"/>
    </row>
    <row r="65" spans="2:6" x14ac:dyDescent="0.2">
      <c r="B65" s="21"/>
      <c r="C65" s="22"/>
      <c r="F65" s="23"/>
    </row>
    <row r="66" spans="2:6" ht="15" thickBot="1" x14ac:dyDescent="0.25">
      <c r="B66" s="24"/>
      <c r="C66" s="25"/>
      <c r="D66" s="26"/>
      <c r="E66" s="26"/>
      <c r="F66" s="27"/>
    </row>
  </sheetData>
  <sheetProtection sheet="1" scenarios="1" formatCells="0" formatColumns="0" formatRows="0" selectLockedCells="1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7AE511-3370-497A-B1FE-D06D5848EB8F}">
  <dimension ref="A1:D121"/>
  <sheetViews>
    <sheetView workbookViewId="0">
      <selection activeCell="D20" sqref="D20"/>
    </sheetView>
  </sheetViews>
  <sheetFormatPr defaultRowHeight="14.25" x14ac:dyDescent="0.2"/>
  <cols>
    <col min="1" max="1" width="4.75" customWidth="1"/>
    <col min="2" max="2" width="9.125" customWidth="1"/>
    <col min="3" max="3" width="9.875" customWidth="1"/>
  </cols>
  <sheetData>
    <row r="1" spans="1:4" x14ac:dyDescent="0.2">
      <c r="A1" s="5" t="s">
        <v>25</v>
      </c>
      <c r="B1" s="5" t="s">
        <v>24</v>
      </c>
      <c r="C1" s="5" t="s">
        <v>4</v>
      </c>
      <c r="D1" s="5" t="s">
        <v>26</v>
      </c>
    </row>
    <row r="2" spans="1:4" x14ac:dyDescent="0.2">
      <c r="A2">
        <v>1</v>
      </c>
      <c r="B2" s="6">
        <f>טבלה2[[#This Row],[Demand]]/טבלה2[[#This Row],[S]]*(טבלה2[[#This Row],[S]]-1)</f>
        <v>36.238938053097314</v>
      </c>
      <c r="C2">
        <f>Admin!M4</f>
        <v>315</v>
      </c>
      <c r="D2">
        <v>1.1299999999999999</v>
      </c>
    </row>
    <row r="3" spans="1:4" x14ac:dyDescent="0.2">
      <c r="A3">
        <v>2</v>
      </c>
      <c r="B3" s="6">
        <f>טבלה2[[#This Row],[Demand]]/טבלה2[[#This Row],[S]]*(טבלה2[[#This Row],[S]]-1)</f>
        <v>-48.511627906976749</v>
      </c>
      <c r="C3">
        <f>Admin!M5</f>
        <v>298</v>
      </c>
      <c r="D3">
        <v>0.86</v>
      </c>
    </row>
    <row r="4" spans="1:4" x14ac:dyDescent="0.2">
      <c r="A4">
        <v>3</v>
      </c>
      <c r="B4" s="6">
        <f>טבלה2[[#This Row],[Demand]]/טבלה2[[#This Row],[S]]*(טבלה2[[#This Row],[S]]-1)</f>
        <v>35.347826086956502</v>
      </c>
      <c r="C4">
        <f>Admin!M6</f>
        <v>271</v>
      </c>
      <c r="D4">
        <v>1.1499999999999999</v>
      </c>
    </row>
    <row r="5" spans="1:4" x14ac:dyDescent="0.2">
      <c r="A5">
        <v>4</v>
      </c>
      <c r="B5" s="6">
        <f>טבלה2[[#This Row],[Demand]]/טבלה2[[#This Row],[S]]*(טבלה2[[#This Row],[S]]-1)</f>
        <v>-51.279069767441861</v>
      </c>
      <c r="C5">
        <f>Admin!M7</f>
        <v>315</v>
      </c>
      <c r="D5">
        <v>0.86</v>
      </c>
    </row>
    <row r="6" spans="1:4" x14ac:dyDescent="0.2">
      <c r="A6">
        <v>5</v>
      </c>
      <c r="B6" s="6">
        <f>טבלה2[[#This Row],[Demand]]/טבלה2[[#This Row],[S]]*(טבלה2[[#This Row],[S]]-1)</f>
        <v>23.909090909090928</v>
      </c>
      <c r="C6">
        <f>Admin!M8</f>
        <v>263</v>
      </c>
      <c r="D6">
        <v>1.1000000000000001</v>
      </c>
    </row>
    <row r="7" spans="1:4" x14ac:dyDescent="0.2">
      <c r="A7">
        <v>6</v>
      </c>
      <c r="B7" s="6">
        <f>טבלה2[[#This Row],[Demand]]/טבלה2[[#This Row],[S]]*(טבלה2[[#This Row],[S]]-1)</f>
        <v>-31.333333333333325</v>
      </c>
      <c r="C7">
        <f>Admin!M9</f>
        <v>282</v>
      </c>
      <c r="D7">
        <v>0.9</v>
      </c>
    </row>
    <row r="8" spans="1:4" x14ac:dyDescent="0.2">
      <c r="A8">
        <v>7</v>
      </c>
      <c r="B8" s="6">
        <f>טבלה2[[#This Row],[Demand]]/טבלה2[[#This Row],[S]]*(טבלה2[[#This Row],[S]]-1)</f>
        <v>5.9411764705882408</v>
      </c>
      <c r="C8">
        <f>Admin!M10</f>
        <v>303</v>
      </c>
      <c r="D8">
        <v>1.02</v>
      </c>
    </row>
    <row r="9" spans="1:4" x14ac:dyDescent="0.2">
      <c r="A9">
        <v>8</v>
      </c>
      <c r="B9" s="6">
        <f>טבלה2[[#This Row],[Demand]]/טבלה2[[#This Row],[S]]*(טבלה2[[#This Row],[S]]-1)</f>
        <v>44.739130434782588</v>
      </c>
      <c r="C9">
        <f>Admin!M11</f>
        <v>343</v>
      </c>
      <c r="D9">
        <v>1.1499999999999999</v>
      </c>
    </row>
    <row r="10" spans="1:4" x14ac:dyDescent="0.2">
      <c r="A10">
        <v>9</v>
      </c>
      <c r="B10" s="6">
        <f>טבלה2[[#This Row],[Demand]]/טבלה2[[#This Row],[S]]*(טבלה2[[#This Row],[S]]-1)</f>
        <v>-50.294117647058833</v>
      </c>
      <c r="C10">
        <f>Admin!M12</f>
        <v>285</v>
      </c>
      <c r="D10">
        <v>0.85</v>
      </c>
    </row>
    <row r="11" spans="1:4" x14ac:dyDescent="0.2">
      <c r="A11">
        <v>10</v>
      </c>
      <c r="B11" s="6">
        <f>טבלה2[[#This Row],[Demand]]/טבלה2[[#This Row],[S]]*(טבלה2[[#This Row],[S]]-1)</f>
        <v>14.000000000000012</v>
      </c>
      <c r="C11">
        <f>Admin!M13</f>
        <v>294</v>
      </c>
      <c r="D11">
        <v>1.05</v>
      </c>
    </row>
    <row r="12" spans="1:4" x14ac:dyDescent="0.2">
      <c r="A12">
        <v>11</v>
      </c>
      <c r="B12" s="6">
        <f>טבלה2[[#This Row],[Demand]]/טבלה2[[#This Row],[S]]*(טבלה2[[#This Row],[S]]-1)</f>
        <v>-42.393258426966284</v>
      </c>
      <c r="C12">
        <f>Admin!M14</f>
        <v>343</v>
      </c>
      <c r="D12">
        <v>0.89</v>
      </c>
    </row>
    <row r="13" spans="1:4" x14ac:dyDescent="0.2">
      <c r="A13">
        <v>12</v>
      </c>
      <c r="B13" s="6">
        <f>טבלה2[[#This Row],[Demand]]/טבלה2[[#This Row],[S]]*(טבלה2[[#This Row],[S]]-1)</f>
        <v>10.423076923076932</v>
      </c>
      <c r="C13">
        <f>Admin!M15</f>
        <v>271</v>
      </c>
      <c r="D13">
        <v>1.04</v>
      </c>
    </row>
    <row r="14" spans="1:4" x14ac:dyDescent="0.2">
      <c r="A14">
        <v>13</v>
      </c>
      <c r="B14" s="6">
        <f>טבלה2[[#This Row],[Demand]]/טבלה2[[#This Row],[S]]*(טבלה2[[#This Row],[S]]-1)</f>
        <v>40.955752212389349</v>
      </c>
      <c r="C14">
        <f>Admin!M16</f>
        <v>356</v>
      </c>
      <c r="D14">
        <v>1.1299999999999999</v>
      </c>
    </row>
    <row r="15" spans="1:4" x14ac:dyDescent="0.2">
      <c r="A15">
        <v>14</v>
      </c>
      <c r="B15" s="6">
        <f>טבלה2[[#This Row],[Demand]]/טבלה2[[#This Row],[S]]*(טבלה2[[#This Row],[S]]-1)</f>
        <v>-52.906976744186053</v>
      </c>
      <c r="C15">
        <f>Admin!M17</f>
        <v>325</v>
      </c>
      <c r="D15">
        <v>0.86</v>
      </c>
    </row>
    <row r="16" spans="1:4" x14ac:dyDescent="0.2">
      <c r="A16">
        <v>15</v>
      </c>
      <c r="B16" s="6">
        <f>טבלה2[[#This Row],[Demand]]/טבלה2[[#This Row],[S]]*(טבלה2[[#This Row],[S]]-1)</f>
        <v>38.608695652173893</v>
      </c>
      <c r="C16">
        <f>Admin!M18</f>
        <v>296</v>
      </c>
      <c r="D16">
        <v>1.1499999999999999</v>
      </c>
    </row>
    <row r="17" spans="1:4" x14ac:dyDescent="0.2">
      <c r="A17">
        <v>16</v>
      </c>
      <c r="B17" s="6">
        <f>טבלה2[[#This Row],[Demand]]/טבלה2[[#This Row],[S]]*(טבלה2[[#This Row],[S]]-1)</f>
        <v>-58.767441860465119</v>
      </c>
      <c r="C17">
        <f>Admin!M19</f>
        <v>361</v>
      </c>
      <c r="D17">
        <v>0.86</v>
      </c>
    </row>
    <row r="18" spans="1:4" x14ac:dyDescent="0.2">
      <c r="A18">
        <v>17</v>
      </c>
      <c r="B18" s="6">
        <f>טבלה2[[#This Row],[Demand]]/טבלה2[[#This Row],[S]]*(טבלה2[[#This Row],[S]]-1)</f>
        <v>27.090909090909111</v>
      </c>
      <c r="C18">
        <f>Admin!M20</f>
        <v>298</v>
      </c>
      <c r="D18">
        <v>1.1000000000000001</v>
      </c>
    </row>
    <row r="19" spans="1:4" x14ac:dyDescent="0.2">
      <c r="A19">
        <v>18</v>
      </c>
      <c r="B19" s="6">
        <f>טבלה2[[#This Row],[Demand]]/טבלה2[[#This Row],[S]]*(טבלה2[[#This Row],[S]]-1)</f>
        <v>-33.888888888888879</v>
      </c>
      <c r="C19">
        <f>Admin!M21</f>
        <v>305</v>
      </c>
      <c r="D19">
        <v>0.9</v>
      </c>
    </row>
    <row r="20" spans="1:4" x14ac:dyDescent="0.2">
      <c r="A20">
        <v>19</v>
      </c>
      <c r="B20" s="6">
        <f>טבלה2[[#This Row],[Demand]]/טבלה2[[#This Row],[S]]*(טבלה2[[#This Row],[S]]-1)</f>
        <v>6.6078431372549078</v>
      </c>
      <c r="C20">
        <f>Admin!M22</f>
        <v>337</v>
      </c>
      <c r="D20">
        <v>1.02</v>
      </c>
    </row>
    <row r="21" spans="1:4" x14ac:dyDescent="0.2">
      <c r="A21">
        <v>20</v>
      </c>
      <c r="B21" s="6">
        <f>טבלה2[[#This Row],[Demand]]/טבלה2[[#This Row],[S]]*(טבלה2[[#This Row],[S]]-1)</f>
        <v>50.086956521739104</v>
      </c>
      <c r="C21">
        <f>Admin!M23</f>
        <v>384</v>
      </c>
      <c r="D21">
        <v>1.1499999999999999</v>
      </c>
    </row>
    <row r="22" spans="1:4" x14ac:dyDescent="0.2">
      <c r="A22">
        <v>21</v>
      </c>
      <c r="B22" s="6">
        <f>טבלה2[[#This Row],[Demand]]/טבלה2[[#This Row],[S]]*(טבלה2[[#This Row],[S]]-1)</f>
        <v>-56.647058823529427</v>
      </c>
      <c r="C22">
        <f>Admin!M24</f>
        <v>321</v>
      </c>
      <c r="D22">
        <v>0.85</v>
      </c>
    </row>
    <row r="23" spans="1:4" x14ac:dyDescent="0.2">
      <c r="A23">
        <v>22</v>
      </c>
      <c r="B23" s="6">
        <f>טבלה2[[#This Row],[Demand]]/טבלה2[[#This Row],[S]]*(טבלה2[[#This Row],[S]]-1)</f>
        <v>15.285714285714299</v>
      </c>
      <c r="C23">
        <f>Admin!M25</f>
        <v>321</v>
      </c>
      <c r="D23">
        <v>1.05</v>
      </c>
    </row>
    <row r="24" spans="1:4" x14ac:dyDescent="0.2">
      <c r="A24">
        <v>23</v>
      </c>
      <c r="B24" s="6">
        <f>טבלה2[[#This Row],[Demand]]/טבלה2[[#This Row],[S]]*(טבלה2[[#This Row],[S]]-1)</f>
        <v>-47.460674157303359</v>
      </c>
      <c r="C24">
        <f>Admin!M26</f>
        <v>384</v>
      </c>
      <c r="D24">
        <v>0.89</v>
      </c>
    </row>
    <row r="25" spans="1:4" x14ac:dyDescent="0.2">
      <c r="A25">
        <v>24</v>
      </c>
      <c r="B25" s="6">
        <f>טבלה2[[#This Row],[Demand]]/טבלה2[[#This Row],[S]]*(טבלה2[[#This Row],[S]]-1)</f>
        <v>11.653846153846162</v>
      </c>
      <c r="C25">
        <f>Admin!M27</f>
        <v>303</v>
      </c>
      <c r="D25">
        <v>1.04</v>
      </c>
    </row>
    <row r="26" spans="1:4" x14ac:dyDescent="0.2">
      <c r="A26">
        <v>25</v>
      </c>
      <c r="B26" s="6">
        <f>טבלה2[[#This Row],[Demand]]/טבלה2[[#This Row],[S]]*(טבלה2[[#This Row],[S]]-1)</f>
        <v>45.557522123893776</v>
      </c>
      <c r="C26">
        <f>Admin!M28</f>
        <v>396</v>
      </c>
      <c r="D26">
        <v>1.1299999999999999</v>
      </c>
    </row>
    <row r="27" spans="1:4" x14ac:dyDescent="0.2">
      <c r="A27">
        <v>26</v>
      </c>
      <c r="B27" s="6">
        <f>טבלה2[[#This Row],[Demand]]/טבלה2[[#This Row],[S]]*(טבלה2[[#This Row],[S]]-1)</f>
        <v>-59.255813953488378</v>
      </c>
      <c r="C27">
        <f>Admin!M29</f>
        <v>364</v>
      </c>
      <c r="D27">
        <v>0.86</v>
      </c>
    </row>
    <row r="28" spans="1:4" x14ac:dyDescent="0.2">
      <c r="A28">
        <v>27</v>
      </c>
      <c r="B28" s="6">
        <f>טבלה2[[#This Row],[Demand]]/טבלה2[[#This Row],[S]]*(טבלה2[[#This Row],[S]]-1)</f>
        <v>42.913043478260846</v>
      </c>
      <c r="C28">
        <f>Admin!M30</f>
        <v>329</v>
      </c>
      <c r="D28">
        <v>1.1499999999999999</v>
      </c>
    </row>
    <row r="29" spans="1:4" x14ac:dyDescent="0.2">
      <c r="A29">
        <v>28</v>
      </c>
      <c r="B29" s="6">
        <f>טבלה2[[#This Row],[Demand]]/טבלה2[[#This Row],[S]]*(טבלה2[[#This Row],[S]]-1)</f>
        <v>-65.116279069767458</v>
      </c>
      <c r="C29">
        <f>Admin!M31</f>
        <v>400</v>
      </c>
      <c r="D29">
        <v>0.86</v>
      </c>
    </row>
    <row r="30" spans="1:4" x14ac:dyDescent="0.2">
      <c r="A30">
        <v>29</v>
      </c>
      <c r="B30" s="6">
        <f>טבלה2[[#This Row],[Demand]]/טבלה2[[#This Row],[S]]*(טבלה2[[#This Row],[S]]-1)</f>
        <v>30.636363636363658</v>
      </c>
      <c r="C30">
        <f>Admin!M32</f>
        <v>337</v>
      </c>
      <c r="D30">
        <v>1.1000000000000001</v>
      </c>
    </row>
    <row r="31" spans="1:4" x14ac:dyDescent="0.2">
      <c r="A31">
        <v>30</v>
      </c>
      <c r="B31" s="6">
        <f>טבלה2[[#This Row],[Demand]]/טבלה2[[#This Row],[S]]*(טבלה2[[#This Row],[S]]-1)</f>
        <v>-37.999999999999993</v>
      </c>
      <c r="C31">
        <f>Admin!M33</f>
        <v>342</v>
      </c>
      <c r="D31">
        <v>0.9</v>
      </c>
    </row>
    <row r="32" spans="1:4" x14ac:dyDescent="0.2">
      <c r="A32">
        <v>31</v>
      </c>
      <c r="B32" s="6">
        <f>טבלה2[[#This Row],[Demand]]/טבלה2[[#This Row],[S]]*(טבלה2[[#This Row],[S]]-1)</f>
        <v>7.2745098039215748</v>
      </c>
      <c r="C32">
        <f>Admin!M34</f>
        <v>371</v>
      </c>
      <c r="D32">
        <v>1.02</v>
      </c>
    </row>
    <row r="33" spans="1:4" x14ac:dyDescent="0.2">
      <c r="A33">
        <v>32</v>
      </c>
      <c r="B33" s="6">
        <f>טבלה2[[#This Row],[Demand]]/טבלה2[[#This Row],[S]]*(טבלה2[[#This Row],[S]]-1)</f>
        <v>55.17391304347823</v>
      </c>
      <c r="C33">
        <f>Admin!M35</f>
        <v>423</v>
      </c>
      <c r="D33">
        <v>1.1499999999999999</v>
      </c>
    </row>
    <row r="34" spans="1:4" x14ac:dyDescent="0.2">
      <c r="A34">
        <v>33</v>
      </c>
      <c r="B34" s="6">
        <f>טבלה2[[#This Row],[Demand]]/טבלה2[[#This Row],[S]]*(טבלה2[[#This Row],[S]]-1)</f>
        <v>-62.294117647058833</v>
      </c>
      <c r="C34">
        <f>Admin!M36</f>
        <v>353</v>
      </c>
      <c r="D34">
        <v>0.85</v>
      </c>
    </row>
    <row r="35" spans="1:4" x14ac:dyDescent="0.2">
      <c r="A35">
        <v>34</v>
      </c>
      <c r="B35" s="6">
        <f>טבלה2[[#This Row],[Demand]]/טבלה2[[#This Row],[S]]*(טבלה2[[#This Row],[S]]-1)</f>
        <v>17.000000000000014</v>
      </c>
      <c r="C35">
        <f>Admin!M37</f>
        <v>357</v>
      </c>
      <c r="D35">
        <v>1.05</v>
      </c>
    </row>
    <row r="36" spans="1:4" x14ac:dyDescent="0.2">
      <c r="A36">
        <v>35</v>
      </c>
      <c r="B36" s="6">
        <f>טבלה2[[#This Row],[Demand]]/טבלה2[[#This Row],[S]]*(טבלה2[[#This Row],[S]]-1)</f>
        <v>-52.898876404494374</v>
      </c>
      <c r="C36">
        <f>Admin!M38</f>
        <v>428</v>
      </c>
      <c r="D36">
        <v>0.89</v>
      </c>
    </row>
    <row r="37" spans="1:4" x14ac:dyDescent="0.2">
      <c r="A37">
        <v>36</v>
      </c>
      <c r="B37" s="6">
        <f>טבלה2[[#This Row],[Demand]]/טבלה2[[#This Row],[S]]*(טבלה2[[#This Row],[S]]-1)</f>
        <v>12.730769230769242</v>
      </c>
      <c r="C37">
        <f>Admin!M39</f>
        <v>331</v>
      </c>
      <c r="D37">
        <v>1.04</v>
      </c>
    </row>
    <row r="38" spans="1:4" x14ac:dyDescent="0.2">
      <c r="A38">
        <v>37</v>
      </c>
      <c r="B38" s="6">
        <f>טבלה2[[#This Row],[Demand]]/טבלה2[[#This Row],[S]]*(טבלה2[[#This Row],[S]]-1)</f>
        <v>50.389380530973412</v>
      </c>
      <c r="C38">
        <f>Admin!M40</f>
        <v>438</v>
      </c>
      <c r="D38">
        <v>1.1299999999999999</v>
      </c>
    </row>
    <row r="39" spans="1:4" x14ac:dyDescent="0.2">
      <c r="A39">
        <v>38</v>
      </c>
      <c r="B39" s="6">
        <f>טבלה2[[#This Row],[Demand]]/טבלה2[[#This Row],[S]]*(טבלה2[[#This Row],[S]]-1)</f>
        <v>-67.069767441860463</v>
      </c>
      <c r="C39">
        <f>Admin!M41</f>
        <v>412</v>
      </c>
      <c r="D39">
        <v>0.86</v>
      </c>
    </row>
    <row r="40" spans="1:4" x14ac:dyDescent="0.2">
      <c r="A40">
        <v>39</v>
      </c>
      <c r="B40" s="6">
        <f>טבלה2[[#This Row],[Demand]]/טבלה2[[#This Row],[S]]*(טבלה2[[#This Row],[S]]-1)</f>
        <v>47.2173913043478</v>
      </c>
      <c r="C40">
        <f>Admin!M42</f>
        <v>362</v>
      </c>
      <c r="D40">
        <v>1.1499999999999999</v>
      </c>
    </row>
    <row r="41" spans="1:4" x14ac:dyDescent="0.2">
      <c r="A41">
        <v>40</v>
      </c>
      <c r="B41" s="6">
        <f>טבלה2[[#This Row],[Demand]]/טבלה2[[#This Row],[S]]*(טבלה2[[#This Row],[S]]-1)</f>
        <v>-70.976744186046517</v>
      </c>
      <c r="C41">
        <f>Admin!M43</f>
        <v>436</v>
      </c>
      <c r="D41">
        <v>0.86</v>
      </c>
    </row>
    <row r="42" spans="1:4" x14ac:dyDescent="0.2">
      <c r="A42">
        <v>41</v>
      </c>
      <c r="B42" s="6">
        <f>טבלה2[[#This Row],[Demand]]/טבלה2[[#This Row],[S]]*(טבלה2[[#This Row],[S]]-1)</f>
        <v>33.000000000000028</v>
      </c>
      <c r="C42">
        <f>Admin!M44</f>
        <v>363</v>
      </c>
      <c r="D42">
        <v>1.1000000000000001</v>
      </c>
    </row>
    <row r="43" spans="1:4" x14ac:dyDescent="0.2">
      <c r="A43">
        <v>42</v>
      </c>
      <c r="B43" s="6">
        <f>טבלה2[[#This Row],[Demand]]/טבלה2[[#This Row],[S]]*(טבלה2[[#This Row],[S]]-1)</f>
        <v>-42.444444444444436</v>
      </c>
      <c r="C43">
        <f>Admin!M45</f>
        <v>382</v>
      </c>
      <c r="D43">
        <v>0.9</v>
      </c>
    </row>
    <row r="44" spans="1:4" x14ac:dyDescent="0.2">
      <c r="A44">
        <v>43</v>
      </c>
      <c r="B44" s="6">
        <f>טבלה2[[#This Row],[Demand]]/טבלה2[[#This Row],[S]]*(טבלה2[[#This Row],[S]]-1)</f>
        <v>8.0980392156862813</v>
      </c>
      <c r="C44">
        <f>Admin!M46</f>
        <v>413</v>
      </c>
      <c r="D44">
        <v>1.02</v>
      </c>
    </row>
    <row r="45" spans="1:4" x14ac:dyDescent="0.2">
      <c r="A45">
        <v>44</v>
      </c>
      <c r="B45" s="6">
        <f>טבלה2[[#This Row],[Demand]]/טבלה2[[#This Row],[S]]*(טבלה2[[#This Row],[S]]-1)</f>
        <v>60.391304347826058</v>
      </c>
      <c r="C45">
        <f>Admin!M47</f>
        <v>463</v>
      </c>
      <c r="D45">
        <v>1.1499999999999999</v>
      </c>
    </row>
    <row r="46" spans="1:4" x14ac:dyDescent="0.2">
      <c r="A46">
        <v>45</v>
      </c>
      <c r="B46" s="6">
        <f>טבלה2[[#This Row],[Demand]]/טבלה2[[#This Row],[S]]*(טבלה2[[#This Row],[S]]-1)</f>
        <v>-68.47058823529413</v>
      </c>
      <c r="C46">
        <f>Admin!M48</f>
        <v>388</v>
      </c>
      <c r="D46">
        <v>0.85</v>
      </c>
    </row>
    <row r="47" spans="1:4" x14ac:dyDescent="0.2">
      <c r="A47">
        <v>46</v>
      </c>
      <c r="B47" s="6">
        <f>טבלה2[[#This Row],[Demand]]/טבלה2[[#This Row],[S]]*(טבלה2[[#This Row],[S]]-1)</f>
        <v>18.666666666666682</v>
      </c>
      <c r="C47">
        <f>Admin!M49</f>
        <v>392</v>
      </c>
      <c r="D47">
        <v>1.05</v>
      </c>
    </row>
    <row r="48" spans="1:4" x14ac:dyDescent="0.2">
      <c r="A48">
        <v>47</v>
      </c>
      <c r="B48" s="6">
        <f>טבלה2[[#This Row],[Demand]]/טבלה2[[#This Row],[S]]*(טבלה2[[#This Row],[S]]-1)</f>
        <v>-57.471910112359538</v>
      </c>
      <c r="C48">
        <f>Admin!M50</f>
        <v>465</v>
      </c>
      <c r="D48">
        <v>0.89</v>
      </c>
    </row>
    <row r="49" spans="1:4" x14ac:dyDescent="0.2">
      <c r="A49">
        <v>48</v>
      </c>
      <c r="B49" s="6">
        <f>טבלה2[[#This Row],[Demand]]/טבלה2[[#This Row],[S]]*(טבלה2[[#This Row],[S]]-1)</f>
        <v>13.923076923076934</v>
      </c>
      <c r="C49">
        <f>Admin!M51</f>
        <v>362</v>
      </c>
      <c r="D49">
        <v>1.04</v>
      </c>
    </row>
    <row r="50" spans="1:4" x14ac:dyDescent="0.2">
      <c r="A50">
        <v>49</v>
      </c>
      <c r="B50" s="6">
        <f>טבלה2[[#This Row],[Demand]]/טבלה2[[#This Row],[S]]*(טבלה2[[#This Row],[S]]-1)</f>
        <v>54.646017699114999</v>
      </c>
      <c r="C50">
        <f>Admin!M52</f>
        <v>475</v>
      </c>
      <c r="D50">
        <v>1.1299999999999999</v>
      </c>
    </row>
    <row r="51" spans="1:4" x14ac:dyDescent="0.2">
      <c r="A51">
        <v>50</v>
      </c>
      <c r="B51" s="6">
        <f>טבלה2[[#This Row],[Demand]]/טבלה2[[#This Row],[S]]*(טבלה2[[#This Row],[S]]-1)</f>
        <v>-71.953488372093034</v>
      </c>
      <c r="C51">
        <f>Admin!M53</f>
        <v>442</v>
      </c>
      <c r="D51">
        <v>0.86</v>
      </c>
    </row>
    <row r="52" spans="1:4" x14ac:dyDescent="0.2">
      <c r="A52">
        <v>51</v>
      </c>
      <c r="B52" s="6">
        <f>טבלה2[[#This Row],[Demand]]/טבלה2[[#This Row],[S]]*(טבלה2[[#This Row],[S]]-1)</f>
        <v>51.391304347826058</v>
      </c>
      <c r="C52">
        <f>Admin!M54</f>
        <v>394</v>
      </c>
      <c r="D52">
        <v>1.1499999999999999</v>
      </c>
    </row>
    <row r="53" spans="1:4" x14ac:dyDescent="0.2">
      <c r="A53">
        <v>52</v>
      </c>
      <c r="B53" s="6">
        <f>טבלה2[[#This Row],[Demand]]/טבלה2[[#This Row],[S]]*(טבלה2[[#This Row],[S]]-1)</f>
        <v>-77.000000000000014</v>
      </c>
      <c r="C53">
        <f>Admin!M55</f>
        <v>473</v>
      </c>
      <c r="D53">
        <v>0.86</v>
      </c>
    </row>
    <row r="54" spans="1:4" x14ac:dyDescent="0.2">
      <c r="A54">
        <v>53</v>
      </c>
      <c r="B54" s="6">
        <f>טבלה2[[#This Row],[Demand]]/טבלה2[[#This Row],[S]]*(טבלה2[[#This Row],[S]]-1)</f>
        <v>36.000000000000028</v>
      </c>
      <c r="C54">
        <f>Admin!M56</f>
        <v>396</v>
      </c>
      <c r="D54">
        <v>1.1000000000000001</v>
      </c>
    </row>
    <row r="55" spans="1:4" x14ac:dyDescent="0.2">
      <c r="A55">
        <v>54</v>
      </c>
      <c r="B55" s="6">
        <f>טבלה2[[#This Row],[Demand]]/טבלה2[[#This Row],[S]]*(טבלה2[[#This Row],[S]]-1)</f>
        <v>-45.444444444444436</v>
      </c>
      <c r="C55">
        <f>Admin!M57</f>
        <v>409</v>
      </c>
      <c r="D55">
        <v>0.9</v>
      </c>
    </row>
    <row r="56" spans="1:4" x14ac:dyDescent="0.2">
      <c r="A56">
        <v>55</v>
      </c>
      <c r="B56" s="6">
        <f>טבלה2[[#This Row],[Demand]]/טבלה2[[#This Row],[S]]*(טבלה2[[#This Row],[S]]-1)</f>
        <v>8.6078431372549087</v>
      </c>
      <c r="C56">
        <f>Admin!M58</f>
        <v>439</v>
      </c>
      <c r="D56">
        <v>1.02</v>
      </c>
    </row>
    <row r="57" spans="1:4" x14ac:dyDescent="0.2">
      <c r="A57">
        <v>56</v>
      </c>
      <c r="B57" s="6">
        <f>טבלה2[[#This Row],[Demand]]/טבלה2[[#This Row],[S]]*(טבלה2[[#This Row],[S]]-1)</f>
        <v>65.347826086956488</v>
      </c>
      <c r="C57">
        <f>Admin!M59</f>
        <v>501</v>
      </c>
      <c r="D57">
        <v>1.1499999999999999</v>
      </c>
    </row>
    <row r="58" spans="1:4" x14ac:dyDescent="0.2">
      <c r="A58">
        <v>57</v>
      </c>
      <c r="B58" s="6">
        <f>טבלה2[[#This Row],[Demand]]/טבלה2[[#This Row],[S]]*(טבלה2[[#This Row],[S]]-1)</f>
        <v>-74.47058823529413</v>
      </c>
      <c r="C58">
        <f>Admin!M60</f>
        <v>422</v>
      </c>
      <c r="D58">
        <v>0.85</v>
      </c>
    </row>
    <row r="59" spans="1:4" x14ac:dyDescent="0.2">
      <c r="A59">
        <v>58</v>
      </c>
      <c r="B59" s="6">
        <f>טבלה2[[#This Row],[Demand]]/טבלה2[[#This Row],[S]]*(טבלה2[[#This Row],[S]]-1)</f>
        <v>19.904761904761923</v>
      </c>
      <c r="C59">
        <f>Admin!M61</f>
        <v>418</v>
      </c>
      <c r="D59">
        <v>1.05</v>
      </c>
    </row>
    <row r="60" spans="1:4" x14ac:dyDescent="0.2">
      <c r="A60">
        <v>59</v>
      </c>
      <c r="B60" s="6">
        <f>טבלה2[[#This Row],[Demand]]/טבלה2[[#This Row],[S]]*(טבלה2[[#This Row],[S]]-1)</f>
        <v>-62.292134831460665</v>
      </c>
      <c r="C60">
        <f>Admin!M62</f>
        <v>504</v>
      </c>
      <c r="D60">
        <v>0.89</v>
      </c>
    </row>
    <row r="61" spans="1:4" x14ac:dyDescent="0.2">
      <c r="A61">
        <v>60</v>
      </c>
      <c r="B61" s="6">
        <f>טבלה2[[#This Row],[Demand]]/טבלה2[[#This Row],[S]]*(טבלה2[[#This Row],[S]]-1)</f>
        <v>15.076923076923089</v>
      </c>
      <c r="C61">
        <f>Admin!M63</f>
        <v>392</v>
      </c>
      <c r="D61">
        <v>1.04</v>
      </c>
    </row>
    <row r="62" spans="1:4" x14ac:dyDescent="0.2">
      <c r="A62">
        <v>61</v>
      </c>
      <c r="B62" s="6">
        <f>טבלה2[[#This Row],[Demand]]/טבלה2[[#This Row],[S]]*(טבלה2[[#This Row],[S]]-1)</f>
        <v>58.557522123893762</v>
      </c>
      <c r="C62">
        <f>Admin!M64</f>
        <v>509</v>
      </c>
      <c r="D62">
        <v>1.1299999999999999</v>
      </c>
    </row>
    <row r="63" spans="1:4" x14ac:dyDescent="0.2">
      <c r="A63">
        <v>62</v>
      </c>
      <c r="B63" s="6">
        <f>טבלה2[[#This Row],[Demand]]/טבלה2[[#This Row],[S]]*(טבלה2[[#This Row],[S]]-1)</f>
        <v>-78.465116279069775</v>
      </c>
      <c r="C63">
        <f>Admin!M65</f>
        <v>482</v>
      </c>
      <c r="D63">
        <v>0.86</v>
      </c>
    </row>
    <row r="64" spans="1:4" x14ac:dyDescent="0.2">
      <c r="A64">
        <v>63</v>
      </c>
      <c r="B64" s="6">
        <f>טבלה2[[#This Row],[Demand]]/טבלה2[[#This Row],[S]]*(טבלה2[[#This Row],[S]]-1)</f>
        <v>55.565217391304323</v>
      </c>
      <c r="C64">
        <f>Admin!M66</f>
        <v>426</v>
      </c>
      <c r="D64">
        <v>1.1499999999999999</v>
      </c>
    </row>
    <row r="65" spans="1:4" x14ac:dyDescent="0.2">
      <c r="A65">
        <v>64</v>
      </c>
      <c r="B65" s="6">
        <f>טבלה2[[#This Row],[Demand]]/טבלה2[[#This Row],[S]]*(טבלה2[[#This Row],[S]]-1)</f>
        <v>-83.023255813953497</v>
      </c>
      <c r="C65">
        <f>Admin!M67</f>
        <v>510</v>
      </c>
      <c r="D65">
        <v>0.86</v>
      </c>
    </row>
    <row r="66" spans="1:4" x14ac:dyDescent="0.2">
      <c r="A66">
        <v>65</v>
      </c>
      <c r="B66" s="6">
        <f>טבלה2[[#This Row],[Demand]]/טבלה2[[#This Row],[S]]*(טבלה2[[#This Row],[S]]-1)</f>
        <v>39.272727272727302</v>
      </c>
      <c r="C66">
        <f>Admin!M68</f>
        <v>432</v>
      </c>
      <c r="D66">
        <v>1.1000000000000001</v>
      </c>
    </row>
    <row r="67" spans="1:4" x14ac:dyDescent="0.2">
      <c r="A67">
        <v>66</v>
      </c>
      <c r="B67" s="6">
        <f>טבלה2[[#This Row],[Demand]]/טבלה2[[#This Row],[S]]*(טבלה2[[#This Row],[S]]-1)</f>
        <v>-48.333333333333321</v>
      </c>
      <c r="C67">
        <f>Admin!M69</f>
        <v>435</v>
      </c>
      <c r="D67">
        <v>0.9</v>
      </c>
    </row>
    <row r="68" spans="1:4" x14ac:dyDescent="0.2">
      <c r="A68">
        <v>67</v>
      </c>
      <c r="B68" s="6">
        <f>טבלה2[[#This Row],[Demand]]/טבלה2[[#This Row],[S]]*(טבלה2[[#This Row],[S]]-1)</f>
        <v>9.549019607843146</v>
      </c>
      <c r="C68">
        <f>Admin!M70</f>
        <v>487</v>
      </c>
      <c r="D68">
        <v>1.02</v>
      </c>
    </row>
    <row r="69" spans="1:4" x14ac:dyDescent="0.2">
      <c r="A69">
        <v>68</v>
      </c>
      <c r="B69" s="6">
        <f>טבלה2[[#This Row],[Demand]]/טבלה2[[#This Row],[S]]*(טבלה2[[#This Row],[S]]-1)</f>
        <v>69.391304347826051</v>
      </c>
      <c r="C69">
        <f>Admin!M71</f>
        <v>532</v>
      </c>
      <c r="D69">
        <v>1.1499999999999999</v>
      </c>
    </row>
    <row r="70" spans="1:4" x14ac:dyDescent="0.2">
      <c r="A70">
        <v>69</v>
      </c>
      <c r="B70" s="6">
        <f>טבלה2[[#This Row],[Demand]]/טבלה2[[#This Row],[S]]*(טבלה2[[#This Row],[S]]-1)</f>
        <v>-80.64705882352942</v>
      </c>
      <c r="C70">
        <f>Admin!M72</f>
        <v>457</v>
      </c>
      <c r="D70">
        <v>0.85</v>
      </c>
    </row>
    <row r="71" spans="1:4" x14ac:dyDescent="0.2">
      <c r="A71">
        <v>70</v>
      </c>
      <c r="B71" s="6">
        <f>טבלה2[[#This Row],[Demand]]/טבלה2[[#This Row],[S]]*(טבלה2[[#This Row],[S]]-1)</f>
        <v>21.904761904761923</v>
      </c>
      <c r="C71">
        <f>Admin!M73</f>
        <v>460</v>
      </c>
      <c r="D71">
        <v>1.05</v>
      </c>
    </row>
    <row r="72" spans="1:4" x14ac:dyDescent="0.2">
      <c r="A72">
        <v>71</v>
      </c>
      <c r="B72" s="6">
        <f>טבלה2[[#This Row],[Demand]]/טבלה2[[#This Row],[S]]*(טבלה2[[#This Row],[S]]-1)</f>
        <v>-66.494382022471896</v>
      </c>
      <c r="C72">
        <f>Admin!M74</f>
        <v>538</v>
      </c>
      <c r="D72">
        <v>0.89</v>
      </c>
    </row>
    <row r="73" spans="1:4" x14ac:dyDescent="0.2">
      <c r="A73">
        <v>72</v>
      </c>
      <c r="B73" s="6">
        <f>טבלה2[[#This Row],[Demand]]/טבלה2[[#This Row],[S]]*(טבלה2[[#This Row],[S]]-1)</f>
        <v>16.269230769230784</v>
      </c>
      <c r="C73">
        <f>Admin!M75</f>
        <v>423</v>
      </c>
      <c r="D73">
        <v>1.04</v>
      </c>
    </row>
    <row r="74" spans="1:4" x14ac:dyDescent="0.2">
      <c r="A74">
        <v>73</v>
      </c>
      <c r="B74" s="6">
        <f>טבלה2[[#This Row],[Demand]]/טבלה2[[#This Row],[S]]*(טבלה2[[#This Row],[S]]-1)</f>
        <v>63.50442477876102</v>
      </c>
      <c r="C74">
        <f>Admin!M76</f>
        <v>552</v>
      </c>
      <c r="D74">
        <v>1.1299999999999999</v>
      </c>
    </row>
    <row r="75" spans="1:4" x14ac:dyDescent="0.2">
      <c r="A75">
        <v>74</v>
      </c>
      <c r="B75" s="6">
        <f>טבלה2[[#This Row],[Demand]]/טבלה2[[#This Row],[S]]*(טבלה2[[#This Row],[S]]-1)</f>
        <v>-84.651162790697683</v>
      </c>
      <c r="C75">
        <f>Admin!M77</f>
        <v>520</v>
      </c>
      <c r="D75">
        <v>0.86</v>
      </c>
    </row>
    <row r="76" spans="1:4" x14ac:dyDescent="0.2">
      <c r="A76">
        <v>75</v>
      </c>
      <c r="B76" s="6">
        <f>טבלה2[[#This Row],[Demand]]/טבלה2[[#This Row],[S]]*(טבלה2[[#This Row],[S]]-1)</f>
        <v>59.869565217391276</v>
      </c>
      <c r="C76">
        <f>Admin!M78</f>
        <v>459</v>
      </c>
      <c r="D76">
        <v>1.1499999999999999</v>
      </c>
    </row>
    <row r="77" spans="1:4" x14ac:dyDescent="0.2">
      <c r="A77">
        <v>76</v>
      </c>
      <c r="B77" s="6">
        <f>טבלה2[[#This Row],[Demand]]/טבלה2[[#This Row],[S]]*(טבלה2[[#This Row],[S]]-1)</f>
        <v>-89.697674418604649</v>
      </c>
      <c r="C77">
        <f>Admin!M79</f>
        <v>551</v>
      </c>
      <c r="D77">
        <v>0.86</v>
      </c>
    </row>
    <row r="78" spans="1:4" x14ac:dyDescent="0.2">
      <c r="A78">
        <v>77</v>
      </c>
      <c r="B78" s="6">
        <f>טבלה2[[#This Row],[Demand]]/טבלה2[[#This Row],[S]]*(טבלה2[[#This Row],[S]]-1)</f>
        <v>42.272727272727309</v>
      </c>
      <c r="C78">
        <f>Admin!M80</f>
        <v>465</v>
      </c>
      <c r="D78">
        <v>1.1000000000000001</v>
      </c>
    </row>
    <row r="79" spans="1:4" x14ac:dyDescent="0.2">
      <c r="A79">
        <v>78</v>
      </c>
      <c r="B79" s="6">
        <f>טבלה2[[#This Row],[Demand]]/טבלה2[[#This Row],[S]]*(טבלה2[[#This Row],[S]]-1)</f>
        <v>-52.444444444444436</v>
      </c>
      <c r="C79">
        <f>Admin!M81</f>
        <v>472</v>
      </c>
      <c r="D79">
        <v>0.9</v>
      </c>
    </row>
    <row r="80" spans="1:4" x14ac:dyDescent="0.2">
      <c r="A80">
        <v>79</v>
      </c>
      <c r="B80" s="6">
        <f>טבלה2[[#This Row],[Demand]]/טבלה2[[#This Row],[S]]*(טבלה2[[#This Row],[S]]-1)</f>
        <v>10.098039215686283</v>
      </c>
      <c r="C80">
        <f>Admin!M82</f>
        <v>515</v>
      </c>
      <c r="D80">
        <v>1.02</v>
      </c>
    </row>
    <row r="81" spans="1:4" x14ac:dyDescent="0.2">
      <c r="A81">
        <v>80</v>
      </c>
      <c r="B81" s="6">
        <f>טבלה2[[#This Row],[Demand]]/טבלה2[[#This Row],[S]]*(טבלה2[[#This Row],[S]]-1)</f>
        <v>75.913043478260832</v>
      </c>
      <c r="C81">
        <f>Admin!M83</f>
        <v>582</v>
      </c>
      <c r="D81">
        <v>1.1499999999999999</v>
      </c>
    </row>
    <row r="82" spans="1:4" x14ac:dyDescent="0.2">
      <c r="A82">
        <v>81</v>
      </c>
      <c r="B82" s="6">
        <f>טבלה2[[#This Row],[Demand]]/טבלה2[[#This Row],[S]]*(טבלה2[[#This Row],[S]]-1)</f>
        <v>-87.000000000000014</v>
      </c>
      <c r="C82">
        <f>Admin!M84</f>
        <v>493</v>
      </c>
      <c r="D82">
        <v>0.85</v>
      </c>
    </row>
    <row r="83" spans="1:4" x14ac:dyDescent="0.2">
      <c r="A83">
        <v>82</v>
      </c>
      <c r="B83" s="6">
        <f>טבלה2[[#This Row],[Demand]]/טבלה2[[#This Row],[S]]*(טבלה2[[#This Row],[S]]-1)</f>
        <v>23.238095238095259</v>
      </c>
      <c r="C83">
        <f>Admin!M85</f>
        <v>488</v>
      </c>
      <c r="D83">
        <v>1.05</v>
      </c>
    </row>
    <row r="84" spans="1:4" x14ac:dyDescent="0.2">
      <c r="A84">
        <v>83</v>
      </c>
      <c r="B84" s="6">
        <f>טבלה2[[#This Row],[Demand]]/טבלה2[[#This Row],[S]]*(טבלה2[[#This Row],[S]]-1)</f>
        <v>-71.685393258426956</v>
      </c>
      <c r="C84">
        <f>Admin!M86</f>
        <v>580</v>
      </c>
      <c r="D84">
        <v>0.89</v>
      </c>
    </row>
    <row r="85" spans="1:4" x14ac:dyDescent="0.2">
      <c r="A85">
        <v>84</v>
      </c>
      <c r="B85" s="6">
        <f>טבלה2[[#This Row],[Demand]]/טבלה2[[#This Row],[S]]*(טבלה2[[#This Row],[S]]-1)</f>
        <v>17.269230769230784</v>
      </c>
      <c r="C85">
        <f>Admin!M87</f>
        <v>449</v>
      </c>
      <c r="D85">
        <v>1.04</v>
      </c>
    </row>
    <row r="86" spans="1:4" x14ac:dyDescent="0.2">
      <c r="A86">
        <v>85</v>
      </c>
      <c r="B86" s="6">
        <f>טבלה2[[#This Row],[Demand]]/טבלה2[[#This Row],[S]]*(טבלה2[[#This Row],[S]]-1)</f>
        <v>68.796460176991104</v>
      </c>
      <c r="C86">
        <f>Admin!M88</f>
        <v>598</v>
      </c>
      <c r="D86">
        <v>1.1299999999999999</v>
      </c>
    </row>
    <row r="87" spans="1:4" x14ac:dyDescent="0.2">
      <c r="A87">
        <v>86</v>
      </c>
      <c r="B87" s="6">
        <f>טבלה2[[#This Row],[Demand]]/טבלה2[[#This Row],[S]]*(טבלה2[[#This Row],[S]]-1)</f>
        <v>-91.813953488372107</v>
      </c>
      <c r="C87">
        <f>Admin!M89</f>
        <v>564</v>
      </c>
      <c r="D87">
        <v>0.86</v>
      </c>
    </row>
    <row r="88" spans="1:4" x14ac:dyDescent="0.2">
      <c r="A88">
        <v>87</v>
      </c>
      <c r="B88" s="6">
        <f>טבלה2[[#This Row],[Demand]]/טבלה2[[#This Row],[S]]*(טבלה2[[#This Row],[S]]-1)</f>
        <v>64.434782608695613</v>
      </c>
      <c r="C88">
        <f>Admin!M90</f>
        <v>494</v>
      </c>
      <c r="D88">
        <v>1.1499999999999999</v>
      </c>
    </row>
    <row r="89" spans="1:4" x14ac:dyDescent="0.2">
      <c r="A89">
        <v>88</v>
      </c>
      <c r="B89" s="6">
        <f>טבלה2[[#This Row],[Demand]]/טבלה2[[#This Row],[S]]*(טבלה2[[#This Row],[S]]-1)</f>
        <v>-96.209302325581419</v>
      </c>
      <c r="C89">
        <f>Admin!M91</f>
        <v>591</v>
      </c>
      <c r="D89">
        <v>0.86</v>
      </c>
    </row>
    <row r="90" spans="1:4" x14ac:dyDescent="0.2">
      <c r="A90">
        <v>89</v>
      </c>
      <c r="B90" s="6">
        <f>טבלה2[[#This Row],[Demand]]/טבלה2[[#This Row],[S]]*(טבלה2[[#This Row],[S]]-1)</f>
        <v>44.545454545454582</v>
      </c>
      <c r="C90">
        <f>Admin!M92</f>
        <v>490</v>
      </c>
      <c r="D90">
        <v>1.1000000000000001</v>
      </c>
    </row>
    <row r="91" spans="1:4" x14ac:dyDescent="0.2">
      <c r="A91">
        <v>90</v>
      </c>
      <c r="B91" s="6">
        <f>טבלה2[[#This Row],[Demand]]/טבלה2[[#This Row],[S]]*(טבלה2[[#This Row],[S]]-1)</f>
        <v>-56.444444444444436</v>
      </c>
      <c r="C91">
        <f>Admin!M93</f>
        <v>508</v>
      </c>
      <c r="D91">
        <v>0.9</v>
      </c>
    </row>
    <row r="92" spans="1:4" x14ac:dyDescent="0.2">
      <c r="A92">
        <v>91</v>
      </c>
      <c r="B92" s="6">
        <f>טבלה2[[#This Row],[Demand]]/טבלה2[[#This Row],[S]]*(טבלה2[[#This Row],[S]]-1)</f>
        <v>10.84313725490197</v>
      </c>
      <c r="C92">
        <f>Admin!M94</f>
        <v>553</v>
      </c>
      <c r="D92">
        <v>1.02</v>
      </c>
    </row>
    <row r="93" spans="1:4" x14ac:dyDescent="0.2">
      <c r="A93">
        <v>92</v>
      </c>
      <c r="B93" s="6">
        <f>טבלה2[[#This Row],[Demand]]/טבלה2[[#This Row],[S]]*(טבלה2[[#This Row],[S]]-1)</f>
        <v>81.391304347826051</v>
      </c>
      <c r="C93">
        <f>Admin!M95</f>
        <v>624</v>
      </c>
      <c r="D93">
        <v>1.1499999999999999</v>
      </c>
    </row>
    <row r="94" spans="1:4" x14ac:dyDescent="0.2">
      <c r="A94">
        <v>93</v>
      </c>
      <c r="B94" s="6">
        <f>טבלה2[[#This Row],[Demand]]/טבלה2[[#This Row],[S]]*(טבלה2[[#This Row],[S]]-1)</f>
        <v>-92.294117647058826</v>
      </c>
      <c r="C94">
        <f>Admin!M96</f>
        <v>523</v>
      </c>
      <c r="D94">
        <v>0.85</v>
      </c>
    </row>
    <row r="95" spans="1:4" x14ac:dyDescent="0.2">
      <c r="A95">
        <v>94</v>
      </c>
      <c r="B95" s="6">
        <f>טבלה2[[#This Row],[Demand]]/טבלה2[[#This Row],[S]]*(טבלה2[[#This Row],[S]]-1)</f>
        <v>25.047619047619069</v>
      </c>
      <c r="C95">
        <f>Admin!M97</f>
        <v>526</v>
      </c>
      <c r="D95">
        <v>1.05</v>
      </c>
    </row>
    <row r="96" spans="1:4" x14ac:dyDescent="0.2">
      <c r="A96">
        <v>95</v>
      </c>
      <c r="B96" s="6">
        <f>טבלה2[[#This Row],[Demand]]/טבלה2[[#This Row],[S]]*(טבלה2[[#This Row],[S]]-1)</f>
        <v>-76.382022471910105</v>
      </c>
      <c r="C96">
        <f>Admin!M98</f>
        <v>618</v>
      </c>
      <c r="D96">
        <v>0.89</v>
      </c>
    </row>
    <row r="97" spans="1:4" x14ac:dyDescent="0.2">
      <c r="A97">
        <v>96</v>
      </c>
      <c r="B97" s="6">
        <f>טבלה2[[#This Row],[Demand]]/טבלה2[[#This Row],[S]]*(טבלה2[[#This Row],[S]]-1)</f>
        <v>18.615384615384631</v>
      </c>
      <c r="C97">
        <f>Admin!M99</f>
        <v>484</v>
      </c>
      <c r="D97">
        <v>1.04</v>
      </c>
    </row>
    <row r="98" spans="1:4" x14ac:dyDescent="0.2">
      <c r="A98">
        <v>97</v>
      </c>
      <c r="B98" s="6">
        <f>טבלה2[[#This Row],[Demand]]/טבלה2[[#This Row],[S]]*(טבלה2[[#This Row],[S]]-1)</f>
        <v>72.36283185840702</v>
      </c>
      <c r="C98">
        <f>Admin!M100</f>
        <v>629</v>
      </c>
      <c r="D98">
        <v>1.1299999999999999</v>
      </c>
    </row>
    <row r="99" spans="1:4" x14ac:dyDescent="0.2">
      <c r="A99">
        <v>98</v>
      </c>
      <c r="B99" s="6">
        <f>טבלה2[[#This Row],[Demand]]/טבלה2[[#This Row],[S]]*(טבלה2[[#This Row],[S]]-1)</f>
        <v>-94.744186046511643</v>
      </c>
      <c r="C99">
        <f>Admin!M101</f>
        <v>582</v>
      </c>
      <c r="D99">
        <v>0.86</v>
      </c>
    </row>
    <row r="100" spans="1:4" x14ac:dyDescent="0.2">
      <c r="A100">
        <v>99</v>
      </c>
      <c r="B100" s="6">
        <f>טבלה2[[#This Row],[Demand]]/טבלה2[[#This Row],[S]]*(טבלה2[[#This Row],[S]]-1)</f>
        <v>68.869565217391269</v>
      </c>
      <c r="C100">
        <f>Admin!M102</f>
        <v>528</v>
      </c>
      <c r="D100">
        <v>1.1499999999999999</v>
      </c>
    </row>
    <row r="101" spans="1:4" x14ac:dyDescent="0.2">
      <c r="A101">
        <v>100</v>
      </c>
      <c r="B101" s="6">
        <f>טבלה2[[#This Row],[Demand]]/טבלה2[[#This Row],[S]]*(טבלה2[[#This Row],[S]]-1)</f>
        <v>-102.2325581395349</v>
      </c>
      <c r="C101">
        <f>Admin!M103</f>
        <v>628</v>
      </c>
      <c r="D101">
        <v>0.86</v>
      </c>
    </row>
    <row r="102" spans="1:4" x14ac:dyDescent="0.2">
      <c r="A102">
        <v>101</v>
      </c>
      <c r="B102" s="6">
        <f>טבלה2[[#This Row],[Demand]]/טבלה2[[#This Row],[S]]*(טבלה2[[#This Row],[S]]-1)</f>
        <v>48.090909090909129</v>
      </c>
      <c r="C102">
        <f>Admin!M104</f>
        <v>529</v>
      </c>
      <c r="D102">
        <v>1.1000000000000001</v>
      </c>
    </row>
    <row r="103" spans="1:4" x14ac:dyDescent="0.2">
      <c r="A103">
        <v>102</v>
      </c>
      <c r="B103" s="6">
        <f>טבלה2[[#This Row],[Demand]]/טבלה2[[#This Row],[S]]*(טבלה2[[#This Row],[S]]-1)</f>
        <v>-60.333333333333321</v>
      </c>
      <c r="C103">
        <f>Admin!M105</f>
        <v>543</v>
      </c>
      <c r="D103">
        <v>0.9</v>
      </c>
    </row>
    <row r="104" spans="1:4" x14ac:dyDescent="0.2">
      <c r="A104">
        <v>103</v>
      </c>
      <c r="B104" s="6">
        <f>טבלה2[[#This Row],[Demand]]/טבלה2[[#This Row],[S]]*(טבלה2[[#This Row],[S]]-1)</f>
        <v>11.588235294117657</v>
      </c>
      <c r="C104">
        <f>Admin!M106</f>
        <v>591</v>
      </c>
      <c r="D104">
        <v>1.02</v>
      </c>
    </row>
    <row r="105" spans="1:4" x14ac:dyDescent="0.2">
      <c r="A105">
        <v>104</v>
      </c>
      <c r="B105" s="6">
        <f>טבלה2[[#This Row],[Demand]]/טבלה2[[#This Row],[S]]*(טבלה2[[#This Row],[S]]-1)</f>
        <v>86.217391304347785</v>
      </c>
      <c r="C105">
        <f>Admin!M107</f>
        <v>661</v>
      </c>
      <c r="D105">
        <v>1.1499999999999999</v>
      </c>
    </row>
    <row r="106" spans="1:4" x14ac:dyDescent="0.2">
      <c r="A106">
        <v>105</v>
      </c>
      <c r="B106" s="6">
        <f>טבלה2[[#This Row],[Demand]]/טבלה2[[#This Row],[S]]*(טבלה2[[#This Row],[S]]-1)</f>
        <v>-96.882352941176478</v>
      </c>
      <c r="C106">
        <f>Admin!M108</f>
        <v>549</v>
      </c>
      <c r="D106">
        <v>0.85</v>
      </c>
    </row>
    <row r="107" spans="1:4" x14ac:dyDescent="0.2">
      <c r="A107">
        <v>106</v>
      </c>
      <c r="B107" s="6">
        <f>טבלה2[[#This Row],[Demand]]/טבלה2[[#This Row],[S]]*(טבלה2[[#This Row],[S]]-1)</f>
        <v>26.571428571428594</v>
      </c>
      <c r="C107">
        <f>Admin!M109</f>
        <v>558</v>
      </c>
      <c r="D107">
        <v>1.05</v>
      </c>
    </row>
    <row r="108" spans="1:4" x14ac:dyDescent="0.2">
      <c r="A108">
        <v>107</v>
      </c>
      <c r="B108" s="6">
        <f>טבלה2[[#This Row],[Demand]]/טבלה2[[#This Row],[S]]*(טבלה2[[#This Row],[S]]-1)</f>
        <v>-81.44943820224718</v>
      </c>
      <c r="C108">
        <f>Admin!M110</f>
        <v>659</v>
      </c>
      <c r="D108">
        <v>0.89</v>
      </c>
    </row>
    <row r="109" spans="1:4" x14ac:dyDescent="0.2">
      <c r="A109">
        <v>108</v>
      </c>
      <c r="B109" s="6">
        <f>טבלה2[[#This Row],[Demand]]/טבלה2[[#This Row],[S]]*(טבלה2[[#This Row],[S]]-1)</f>
        <v>19.653846153846171</v>
      </c>
      <c r="C109">
        <f>Admin!M111</f>
        <v>511</v>
      </c>
      <c r="D109">
        <v>1.04</v>
      </c>
    </row>
    <row r="110" spans="1:4" x14ac:dyDescent="0.2">
      <c r="A110">
        <v>109</v>
      </c>
      <c r="B110" s="6">
        <f>טבלה2[[#This Row],[Demand]]/טבלה2[[#This Row],[S]]*(טבלה2[[#This Row],[S]]-1)</f>
        <v>76.96460176991144</v>
      </c>
      <c r="C110">
        <f>Admin!M112</f>
        <v>669</v>
      </c>
      <c r="D110">
        <v>1.1299999999999999</v>
      </c>
    </row>
    <row r="111" spans="1:4" x14ac:dyDescent="0.2">
      <c r="A111">
        <v>110</v>
      </c>
      <c r="B111" s="6">
        <f>טבלה2[[#This Row],[Demand]]/טבלה2[[#This Row],[S]]*(טבלה2[[#This Row],[S]]-1)</f>
        <v>-102.06976744186048</v>
      </c>
      <c r="C111">
        <f>Admin!M113</f>
        <v>627</v>
      </c>
      <c r="D111">
        <v>0.86</v>
      </c>
    </row>
    <row r="112" spans="1:4" x14ac:dyDescent="0.2">
      <c r="A112">
        <v>111</v>
      </c>
      <c r="B112" s="6">
        <f>טבלה2[[#This Row],[Demand]]/טבלה2[[#This Row],[S]]*(טבלה2[[#This Row],[S]]-1)</f>
        <v>72.13043478260866</v>
      </c>
      <c r="C112">
        <f>Admin!M114</f>
        <v>553</v>
      </c>
      <c r="D112">
        <v>1.1499999999999999</v>
      </c>
    </row>
    <row r="113" spans="1:4" x14ac:dyDescent="0.2">
      <c r="A113">
        <v>112</v>
      </c>
      <c r="B113" s="6">
        <f>טבלה2[[#This Row],[Demand]]/טבלה2[[#This Row],[S]]*(טבלה2[[#This Row],[S]]-1)</f>
        <v>-108.41860465116281</v>
      </c>
      <c r="C113">
        <f>Admin!M115</f>
        <v>666</v>
      </c>
      <c r="D113">
        <v>0.86</v>
      </c>
    </row>
    <row r="114" spans="1:4" x14ac:dyDescent="0.2">
      <c r="A114">
        <v>113</v>
      </c>
      <c r="B114" s="6">
        <f>טבלה2[[#This Row],[Demand]]/טבלה2[[#This Row],[S]]*(טבלה2[[#This Row],[S]]-1)</f>
        <v>51.363636363636409</v>
      </c>
      <c r="C114">
        <f>Admin!M116</f>
        <v>565</v>
      </c>
      <c r="D114">
        <v>1.1000000000000001</v>
      </c>
    </row>
    <row r="115" spans="1:4" x14ac:dyDescent="0.2">
      <c r="A115">
        <v>114</v>
      </c>
      <c r="B115" s="6">
        <f>טבלה2[[#This Row],[Demand]]/טבלה2[[#This Row],[S]]*(טבלה2[[#This Row],[S]]-1)</f>
        <v>-63.777777777777757</v>
      </c>
      <c r="C115">
        <f>Admin!M117</f>
        <v>574</v>
      </c>
      <c r="D115">
        <v>0.9</v>
      </c>
    </row>
    <row r="116" spans="1:4" x14ac:dyDescent="0.2">
      <c r="A116">
        <v>115</v>
      </c>
      <c r="B116" s="6">
        <f>טבלה2[[#This Row],[Demand]]/טבלה2[[#This Row],[S]]*(טבלה2[[#This Row],[S]]-1)</f>
        <v>12.313725490196088</v>
      </c>
      <c r="C116">
        <f>Admin!M118</f>
        <v>628</v>
      </c>
      <c r="D116">
        <v>1.02</v>
      </c>
    </row>
    <row r="117" spans="1:4" x14ac:dyDescent="0.2">
      <c r="A117">
        <v>116</v>
      </c>
      <c r="B117" s="6">
        <f>טבלה2[[#This Row],[Demand]]/טבלה2[[#This Row],[S]]*(טבלה2[[#This Row],[S]]-1)</f>
        <v>91.956521739130395</v>
      </c>
      <c r="C117">
        <f>Admin!M119</f>
        <v>705</v>
      </c>
      <c r="D117">
        <v>1.1499999999999999</v>
      </c>
    </row>
    <row r="118" spans="1:4" x14ac:dyDescent="0.2">
      <c r="A118">
        <v>117</v>
      </c>
      <c r="B118" s="6">
        <f>טבלה2[[#This Row],[Demand]]/טבלה2[[#This Row],[S]]*(טבלה2[[#This Row],[S]]-1)</f>
        <v>-104.64705882352942</v>
      </c>
      <c r="C118">
        <f>Admin!M120</f>
        <v>593</v>
      </c>
      <c r="D118">
        <v>0.85</v>
      </c>
    </row>
    <row r="119" spans="1:4" x14ac:dyDescent="0.2">
      <c r="A119">
        <v>118</v>
      </c>
      <c r="B119" s="6">
        <f>טבלה2[[#This Row],[Demand]]/טבלה2[[#This Row],[S]]*(טבלה2[[#This Row],[S]]-1)</f>
        <v>28.190476190476211</v>
      </c>
      <c r="C119">
        <f>Admin!M121</f>
        <v>592</v>
      </c>
      <c r="D119">
        <v>1.05</v>
      </c>
    </row>
    <row r="120" spans="1:4" x14ac:dyDescent="0.2">
      <c r="A120">
        <v>119</v>
      </c>
      <c r="B120" s="6">
        <f>טבלה2[[#This Row],[Demand]]/טבלה2[[#This Row],[S]]*(טבלה2[[#This Row],[S]]-1)</f>
        <v>-85.280898876404493</v>
      </c>
      <c r="C120">
        <f>Admin!M122</f>
        <v>690</v>
      </c>
      <c r="D120">
        <v>0.89</v>
      </c>
    </row>
    <row r="121" spans="1:4" x14ac:dyDescent="0.2">
      <c r="A121">
        <v>120</v>
      </c>
      <c r="B121" s="6">
        <f>טבלה2[[#This Row],[Demand]]/טבלה2[[#This Row],[S]]*(טבלה2[[#This Row],[S]]-1)</f>
        <v>21.000000000000018</v>
      </c>
      <c r="C121">
        <f>Admin!M123</f>
        <v>546</v>
      </c>
      <c r="D121">
        <v>1.04</v>
      </c>
    </row>
  </sheetData>
  <sheetProtection selectLockedCells="1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22931754-5c91-40de-8f7e-79ea774bc399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B1E3729AE0D3248B47A5FAF16B9ACD9" ma:contentTypeVersion="13" ma:contentTypeDescription="Create a new document." ma:contentTypeScope="" ma:versionID="ab618c28e48e1ea1f822e3d0cc5e4401">
  <xsd:schema xmlns:xsd="http://www.w3.org/2001/XMLSchema" xmlns:xs="http://www.w3.org/2001/XMLSchema" xmlns:p="http://schemas.microsoft.com/office/2006/metadata/properties" xmlns:ns3="22931754-5c91-40de-8f7e-79ea774bc399" targetNamespace="http://schemas.microsoft.com/office/2006/metadata/properties" ma:root="true" ma:fieldsID="dc2d64b99a05738b2e2f0ac87b0b88a6" ns3:_="">
    <xsd:import namespace="22931754-5c91-40de-8f7e-79ea774bc399"/>
    <xsd:element name="properties">
      <xsd:complexType>
        <xsd:sequence>
          <xsd:element name="documentManagement">
            <xsd:complexType>
              <xsd:all>
                <xsd:element ref="ns3:_activity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ServiceOCR" minOccurs="0"/>
                <xsd:element ref="ns3:MediaServiceSystemTags" minOccurs="0"/>
                <xsd:element ref="ns3:MediaLengthInSeconds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931754-5c91-40de-8f7e-79ea774bc399" elementFormDefault="qualified">
    <xsd:import namespace="http://schemas.microsoft.com/office/2006/documentManagement/types"/>
    <xsd:import namespace="http://schemas.microsoft.com/office/infopath/2007/PartnerControls"/>
    <xsd:element name="_activity" ma:index="8" nillable="true" ma:displayName="_activity" ma:hidden="true" ma:internalName="_activity">
      <xsd:simpleType>
        <xsd:restriction base="dms:Note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SystemTags" ma:index="18" nillable="true" ma:displayName="MediaServiceSystemTags" ma:hidden="true" ma:internalName="MediaServiceSystemTags" ma:readOnly="true">
      <xsd:simpleType>
        <xsd:restriction base="dms:Note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0" nillable="true" ma:displayName="Location" ma:indexed="true" ma:internalName="MediaServiceLocatio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73AD050-6BBC-4E3F-83AA-A0042A9AD31C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770CE22-1C61-41B5-A36F-FB47EAED7DBB}">
  <ds:schemaRefs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22931754-5c91-40de-8f7e-79ea774bc399"/>
    <ds:schemaRef ds:uri="http://purl.org/dc/elements/1.1/"/>
    <ds:schemaRef ds:uri="http://schemas.microsoft.com/office/2006/metadata/properties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756995AD-8EE1-44AB-B1BF-34185DD6555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2931754-5c91-40de-8f7e-79ea774bc39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גליונות עבודה</vt:lpstr>
      </vt:variant>
      <vt:variant>
        <vt:i4>6</vt:i4>
      </vt:variant>
      <vt:variant>
        <vt:lpstr>תרשימים</vt:lpstr>
      </vt:variant>
      <vt:variant>
        <vt:i4>1</vt:i4>
      </vt:variant>
      <vt:variant>
        <vt:lpstr>טווחים בעלי שם</vt:lpstr>
      </vt:variant>
      <vt:variant>
        <vt:i4>9</vt:i4>
      </vt:variant>
    </vt:vector>
  </HeadingPairs>
  <TitlesOfParts>
    <vt:vector size="16" baseType="lpstr">
      <vt:lpstr>ID</vt:lpstr>
      <vt:lpstr>DATA</vt:lpstr>
      <vt:lpstr>Admin</vt:lpstr>
      <vt:lpstr>תשובות</vt:lpstr>
      <vt:lpstr>גרפים</vt:lpstr>
      <vt:lpstr>Data (2)</vt:lpstr>
      <vt:lpstr>תרשים1</vt:lpstr>
      <vt:lpstr>A0</vt:lpstr>
      <vt:lpstr>avg</vt:lpstr>
      <vt:lpstr>ID</vt:lpstr>
      <vt:lpstr>Months</vt:lpstr>
      <vt:lpstr>RefNum</vt:lpstr>
      <vt:lpstr>Seasonality</vt:lpstr>
      <vt:lpstr>SeasonalityTable</vt:lpstr>
      <vt:lpstr>Std</vt:lpstr>
      <vt:lpstr>Trend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בניה רובין</cp:lastModifiedBy>
  <cp:lastPrinted>2022-04-13T14:39:59Z</cp:lastPrinted>
  <dcterms:created xsi:type="dcterms:W3CDTF">2018-04-21T19:50:28Z</dcterms:created>
  <dcterms:modified xsi:type="dcterms:W3CDTF">2024-02-14T10:27:39Z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0x0101000B1E3729AE0D3248B47A5FAF16B9ACD9</vt:lpwstr>
  </property>
</Properties>
</file>